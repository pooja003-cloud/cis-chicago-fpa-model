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puts" sheetId="2" state="visible" r:id="rId4"/>
    <sheet name="Historical" sheetId="3" state="visible" r:id="rId5"/>
    <sheet name="Forecast" sheetId="4" state="visible" r:id="rId6"/>
    <sheet name="Scenarios" sheetId="5" state="visible" r:id="rId7"/>
  </sheets>
  <definedNames>
    <definedName function="false" hidden="false" localSheetId="0" name="_xlnm.Print_Area" vbProcedure="false">Dashboard!$A$1:$M$58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<sst xmlns="http://schemas.openxmlformats.org/spreadsheetml/2006/main" count="541" uniqueCount="324">
  <si>
    <t xml:space="preserve">Funding Shock Stress Test: Communities In Schools of Chicago</t>
  </si>
  <si>
    <t xml:space="preserve">FY2025 revenue</t>
  </si>
  <si>
    <t xml:space="preserve">FY2025 deficit</t>
  </si>
  <si>
    <t xml:space="preserve">Unrestricted runway, FY2025</t>
  </si>
  <si>
    <t xml:space="preserve">Runway, end FY2028</t>
  </si>
  <si>
    <t xml:space="preserve">Break-even gift</t>
  </si>
  <si>
    <t xml:space="preserve">Program expense ratio, FY2025</t>
  </si>
  <si>
    <t xml:space="preserve">How to read this: FY2026-FY2028 follow the scenario picked on the Scenarios tab (cell C5). Runway = unrestricted net assets / monthly expenses. Source: CIS of Chicago Form 990s, FY2021-FY2025.</t>
  </si>
  <si>
    <t xml:space="preserve">CHART DATA (linked to the other tabs; the charts read from here)</t>
  </si>
  <si>
    <t xml:space="preserve">Fiscal year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</si>
  <si>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</si>
  <si>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</si>
  <si>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</si>
  <si>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</si>
  <si>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</si>
  <si>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FY2026F</t>
  </si>
  <si>
    <t xml:space="preserve">FY2027F</t>
  </si>
  <si>
    <t xml:space="preserve">FY2028F</t>
  </si>
  <si>
    <t xml:space="preserve">Total revenue</t>
  </si>
  <si>
    <t xml:space="preserve">Total expenses</t>
  </si>
  <si>
    <t xml:space="preserve">Months of unrestricted reserves</t>
  </si>
  <si>
    <t xml:space="preserve">Reserve floor (months)</t>
  </si>
  <si>
    <t xml:space="preserve">Government grants</t>
  </si>
  <si>
    <t xml:space="preserve">Other contributions</t>
  </si>
  <si>
    <t xml:space="preserve">Program service revenue</t>
  </si>
  <si>
    <t xml:space="preserve">Investment &amp; other</t>
  </si>
  <si>
    <t xml:space="preserve">Program services</t>
  </si>
  <si>
    <t xml:space="preserve">Management &amp; general</t>
  </si>
  <si>
    <t xml:space="preserve">Fundraising</t>
  </si>
  <si>
    <t xml:space="preserve">Scenario</t>
  </si>
  <si>
    <t xml:space="preserve">Runway, end FY2028 (months)</t>
  </si>
  <si>
    <t xml:space="preserve">Reserves, end FY2028</t>
  </si>
  <si>
    <t xml:space="preserve">Tab 1 - Inputs &amp; Assumptions  |  EIN 36-3591326  |  Fiscal years end June 30  |  Whole US dollars</t>
  </si>
  <si>
    <t xml:space="preserve">How to use this tab</t>
  </si>
  <si>
    <t xml:space="preserve">1,234</t>
  </si>
  <si>
    <t xml:space="preserve">Blue text = number from a Form 990 filing (pre-filled from ProPublica, confirm against the filing)</t>
  </si>
  <si>
    <t xml:space="preserve">Yellow cell = key assumption (a lever you can change). Rows marked KEY - VERIFY: check against the filing</t>
  </si>
  <si>
    <t xml:space="preserve">Black text = formula. Don't type over these.</t>
  </si>
  <si>
    <t xml:space="preserve">Data cells still empty:</t>
  </si>
  <si>
    <t xml:space="preserve">A. HISTORICAL DATA (FORM 990)</t>
  </si>
  <si>
    <t xml:space="preserve">Line item</t>
  </si>
  <si>
    <t xml:space="preserve">990 line</t>
  </si>
  <si>
    <t xml:space="preserve">Tag</t>
  </si>
  <si>
    <t xml:space="preserve">Source / notes</t>
  </si>
  <si>
    <t xml:space="preserve">Revenue</t>
  </si>
  <si>
    <t xml:space="preserve">VIII 1e</t>
  </si>
  <si>
    <t xml:space="preserve">Filing</t>
  </si>
  <si>
    <t xml:space="preserve">KEY - VERIFY: grew from $43k (FY2022) to $989k (FY2025)</t>
  </si>
  <si>
    <t xml:space="preserve">Total contributions</t>
  </si>
  <si>
    <t xml:space="preserve">VIII 1h</t>
  </si>
  <si>
    <t xml:space="preserve">ProPublica summary; confirm vs filing</t>
  </si>
  <si>
    <t xml:space="preserve">Non-government contributions</t>
  </si>
  <si>
    <t xml:space="preserve">1h - 1e</t>
  </si>
  <si>
    <t xml:space="preserve">Formula</t>
  </si>
  <si>
    <t xml:space="preserve">Foundations, corporations, individuals</t>
  </si>
  <si>
    <t xml:space="preserve">VIII 2g</t>
  </si>
  <si>
    <t xml:space="preserve">ProPublica summary; confirm vs filing; Part VIII 2a: 'School service contracts'</t>
  </si>
  <si>
    <t xml:space="preserve">I 12</t>
  </si>
  <si>
    <t xml:space="preserve">Investment &amp; other revenue (net)</t>
  </si>
  <si>
    <t xml:space="preserve">residual</t>
  </si>
  <si>
    <t xml:space="preserve">Total revenue - contributions - program revenue</t>
  </si>
  <si>
    <t xml:space="preserve">Expenses</t>
  </si>
  <si>
    <t xml:space="preserve">IX 25(B)</t>
  </si>
  <si>
    <t xml:space="preserve">KEY - VERIFY: line 25, column B</t>
  </si>
  <si>
    <t xml:space="preserve">IX 25(C)</t>
  </si>
  <si>
    <t xml:space="preserve">KEY - VERIFY: line 25, column C</t>
  </si>
  <si>
    <t xml:space="preserve">IX 25(D)</t>
  </si>
  <si>
    <t xml:space="preserve">KEY - VERIFY: line 25, column D</t>
  </si>
  <si>
    <t xml:space="preserve">IX 25(A)</t>
  </si>
  <si>
    <t xml:space="preserve">Personnel costs (salaries, benefits, payroll tax)</t>
  </si>
  <si>
    <t xml:space="preserve">IX 5-10</t>
  </si>
  <si>
    <t xml:space="preserve">Sum of column A, lines 5-10 (FY2024 reports staff wages on line 6, not 7)</t>
  </si>
  <si>
    <t xml:space="preserve">Surplus / (deficit)</t>
  </si>
  <si>
    <t xml:space="preserve">Total revenue - total expenses</t>
  </si>
  <si>
    <t xml:space="preserve">Check: program + M&amp;G + fundraising = total</t>
  </si>
  <si>
    <t xml:space="preserve">Check</t>
  </si>
  <si>
    <t xml:space="preserve">Balance sheet (end of year)</t>
  </si>
  <si>
    <t xml:space="preserve">Cash (non-interest-bearing)</t>
  </si>
  <si>
    <t xml:space="preserve">X 1</t>
  </si>
  <si>
    <t xml:space="preserve">Form 990 (e-file); tie-out checks passed</t>
  </si>
  <si>
    <t xml:space="preserve">Savings &amp; temporary cash investments</t>
  </si>
  <si>
    <t xml:space="preserve">X 2</t>
  </si>
  <si>
    <t xml:space="preserve">Blank (0) in FY2024-FY2025</t>
  </si>
  <si>
    <t xml:space="preserve">Pledges &amp; grants receivable, net</t>
  </si>
  <si>
    <t xml:space="preserve">X 3</t>
  </si>
  <si>
    <t xml:space="preserve">Promised gifts not yet received in cash</t>
  </si>
  <si>
    <t xml:space="preserve">Investments - publicly traded securities</t>
  </si>
  <si>
    <t xml:space="preserve">X 11</t>
  </si>
  <si>
    <t xml:space="preserve">Total assets</t>
  </si>
  <si>
    <t xml:space="preserve">X 16</t>
  </si>
  <si>
    <t xml:space="preserve">Total liabilities</t>
  </si>
  <si>
    <t xml:space="preserve">X 26</t>
  </si>
  <si>
    <t xml:space="preserve">Net assets WITHOUT donor restrictions</t>
  </si>
  <si>
    <t xml:space="preserve">X 27</t>
  </si>
  <si>
    <t xml:space="preserve">KEY - VERIFY: the freely spendable reserve (end of year)</t>
  </si>
  <si>
    <t xml:space="preserve">Net assets WITH donor restrictions</t>
  </si>
  <si>
    <t xml:space="preserve">X 28</t>
  </si>
  <si>
    <t xml:space="preserve">KEY - VERIFY: restricted by donors (end of year)</t>
  </si>
  <si>
    <t xml:space="preserve">Total net assets</t>
  </si>
  <si>
    <t xml:space="preserve">X 32</t>
  </si>
  <si>
    <t xml:space="preserve">Check: assets - liabilities = net assets</t>
  </si>
  <si>
    <t xml:space="preserve">Check: line 27 + line 28 = line 32</t>
  </si>
  <si>
    <t xml:space="preserve">Operating data</t>
  </si>
  <si>
    <t xml:space="preserve">Number of employees</t>
  </si>
  <si>
    <t xml:space="preserve">I 5</t>
  </si>
  <si>
    <t xml:space="preserve">Part I line 5 (W-3 count for the calendar year)</t>
  </si>
  <si>
    <t xml:space="preserve">B. FORECAST ASSUMPTIONS (BASE CASE, FY2026-FY2028)</t>
  </si>
  <si>
    <t xml:space="preserve">Driver</t>
  </si>
  <si>
    <t xml:space="preserve">Unit</t>
  </si>
  <si>
    <t xml:space="preserve">Value</t>
  </si>
  <si>
    <t xml:space="preserve">Rationale</t>
  </si>
  <si>
    <t xml:space="preserve">Non-government recurring contributions, FY2025 base</t>
  </si>
  <si>
    <t xml:space="preserve">$</t>
  </si>
  <si>
    <t xml:space="preserve">Assumption</t>
  </si>
  <si>
    <t xml:space="preserve">Total contributions less government grants. Assumes FY2025 had no major one-time gift (lowest contribution year since FY2021).</t>
  </si>
  <si>
    <t xml:space="preserve">Non-government recurring growth</t>
  </si>
  <si>
    <t xml:space="preserve">% / year</t>
  </si>
  <si>
    <t xml:space="preserve">Roughly inflation. Steady giving tends to grow with the economy, not with programs.</t>
  </si>
  <si>
    <t xml:space="preserve">Government grants, FY2025 base</t>
  </si>
  <si>
    <t xml:space="preserve">Part VIII 1e for FY2025. Linked to row 13.</t>
  </si>
  <si>
    <t xml:space="preserve">Government grants growth</t>
  </si>
  <si>
    <t xml:space="preserve">Held flat. Grew from $43k to $989k in three years, but public funding is uncertain; Tab 4 tests a cut.</t>
  </si>
  <si>
    <t xml:space="preserve">Include major one-time gifts? (1 = yes, 0 = no)</t>
  </si>
  <si>
    <t xml:space="preserve">switch</t>
  </si>
  <si>
    <t xml:space="preserve">The major-gift switch. Set to 0 to see the organization without any new large gift.</t>
  </si>
  <si>
    <t xml:space="preserve">Major one-time gift size</t>
  </si>
  <si>
    <t xml:space="preserve">In FY2023 pledges receivable rose $5.1M and restricted net assets rose $5.3M, consistent with a ~$5M multi-year pledge. AbbVie gave $6M in 2018.</t>
  </si>
  <si>
    <t xml:space="preserve">Major gift frequency</t>
  </si>
  <si>
    <t xml:space="preserve">every N years</t>
  </si>
  <si>
    <t xml:space="preserve">Large gifts in FY2019 (AbbVie) and FY2023, four years apart. Each gift is also spread over this many years on the Forecast tab.</t>
  </si>
  <si>
    <t xml:space="preserve">Last major-gift year</t>
  </si>
  <si>
    <t xml:space="preserve">fiscal year</t>
  </si>
  <si>
    <t xml:space="preserve">Next gift = last year + frequency, so FY2027 in the base case.</t>
  </si>
  <si>
    <t xml:space="preserve">Program service revenue growth</t>
  </si>
  <si>
    <t xml:space="preserve">School service contracts: flat at $557k-$719k across FY2021-FY2025 with no clear trend.</t>
  </si>
  <si>
    <t xml:space="preserve">Investment &amp; other revenue</t>
  </si>
  <si>
    <t xml:space="preserve">$ / year</t>
  </si>
  <si>
    <t xml:space="preserve">Held at the FY2025 level (mostly investment income). Linked to row 18.</t>
  </si>
  <si>
    <t xml:space="preserve">Expense growth</t>
  </si>
  <si>
    <t xml:space="preserve">About half the historical pace (row 58). FY2025 grew 3.8% after +24% in FY2024; personnel is ~84% of costs.</t>
  </si>
  <si>
    <t xml:space="preserve">Memo: historical expense growth, FY2021-FY2025</t>
  </si>
  <si>
    <t xml:space="preserve">% / year (CAGR)</t>
  </si>
  <si>
    <t xml:space="preserve">Compound annual growth of total expenses. For reference only.</t>
  </si>
  <si>
    <t xml:space="preserve">Reserve floor</t>
  </si>
  <si>
    <t xml:space="preserve">months of expenses</t>
  </si>
  <si>
    <t xml:space="preserve">Common nonprofit guideline is 3-6 months of operating reserves. Runway is measured on unrestricted net assets (row 36).</t>
  </si>
  <si>
    <t xml:space="preserve">Yellow assumption cells are the main levers. Tab 4 (Scenarios) will override them for each scenario.</t>
  </si>
  <si>
    <t xml:space="preserve">Tab 2 - Historical Analysis  |  FY2021-FY2025  |  All figures link to the Inputs tab (green = pulled from Inputs, black = calculated here)</t>
  </si>
  <si>
    <t xml:space="preserve">1. GROWTH (YEAR OVER YEAR)</t>
  </si>
  <si>
    <t xml:space="preserve">Metric</t>
  </si>
  <si>
    <t xml:space="preserve">How it's calculated / what to look for</t>
  </si>
  <si>
    <t xml:space="preserve">Total revenue growth</t>
  </si>
  <si>
    <t xml:space="preserve">%</t>
  </si>
  <si>
    <t xml:space="preserve">n/a</t>
  </si>
  <si>
    <t xml:space="preserve">Big swings = reliance on one-time gifts</t>
  </si>
  <si>
    <t xml:space="preserve">Contributions growth</t>
  </si>
  <si>
    <t xml:space="preserve">Total expenses growth</t>
  </si>
  <si>
    <t xml:space="preserve">Steady climb regardless of revenue</t>
  </si>
  <si>
    <t xml:space="preserve">2. FUNDING MIX (% OF TOTAL REVENUE)</t>
  </si>
  <si>
    <t xml:space="preserve">Contributions</t>
  </si>
  <si>
    <t xml:space="preserve">Share of revenue from gifts and grants</t>
  </si>
  <si>
    <t xml:space="preserve">   of which: government grants</t>
  </si>
  <si>
    <t xml:space="preserve">Fills in once Part VIII 1e is entered</t>
  </si>
  <si>
    <t xml:space="preserve">   of which: non-government</t>
  </si>
  <si>
    <t xml:space="preserve">Fees / contracts (e.g. schools)</t>
  </si>
  <si>
    <t xml:space="preserve">Total</t>
  </si>
  <si>
    <t xml:space="preserve">Should equal 100%</t>
  </si>
  <si>
    <t xml:space="preserve">3. HOW THE MONEY IS SPENT</t>
  </si>
  <si>
    <t xml:space="preserve">Program expense ratio</t>
  </si>
  <si>
    <t xml:space="preserve">Program / total expenses. Watchdogs look for 75%+</t>
  </si>
  <si>
    <t xml:space="preserve">Management &amp; general ratio</t>
  </si>
  <si>
    <t xml:space="preserve">Fundraising ratio</t>
  </si>
  <si>
    <t xml:space="preserve">Cost to raise $1 of contributions</t>
  </si>
  <si>
    <t xml:space="preserve">Fundraising expense / contributions. Lower is better</t>
  </si>
  <si>
    <t xml:space="preserve">Personnel share of expenses</t>
  </si>
  <si>
    <t xml:space="preserve">Social-worker model: expect a high share</t>
  </si>
  <si>
    <t xml:space="preserve">Expense per employee</t>
  </si>
  <si>
    <t xml:space="preserve">4. OPERATING RESULTS</t>
  </si>
  <si>
    <t xml:space="preserve">From Inputs row 26</t>
  </si>
  <si>
    <t xml:space="preserve">Operating margin</t>
  </si>
  <si>
    <t xml:space="preserve">Surplus / total revenue</t>
  </si>
  <si>
    <t xml:space="preserve">5. RESERVES AND RUNWAY</t>
  </si>
  <si>
    <t xml:space="preserve">Monthly expenses</t>
  </si>
  <si>
    <t xml:space="preserve">Total expenses / 12</t>
  </si>
  <si>
    <t xml:space="preserve">Months covered: total net assets</t>
  </si>
  <si>
    <t xml:space="preserve">months</t>
  </si>
  <si>
    <t xml:space="preserve">Looks strong, but includes donor-restricted money</t>
  </si>
  <si>
    <t xml:space="preserve">Months covered: UNRESTRICTED net assets</t>
  </si>
  <si>
    <t xml:space="preserve">KEY: the realistic runway (Part X line 27)</t>
  </si>
  <si>
    <t xml:space="preserve">Months covered: cash, savings &amp; investments</t>
  </si>
  <si>
    <t xml:space="preserve">Liquid assets only (excludes pledges not yet received)</t>
  </si>
  <si>
    <t xml:space="preserve">Restricted share of net assets</t>
  </si>
  <si>
    <t xml:space="preserve">How much of the reserve donors have tied up</t>
  </si>
  <si>
    <t xml:space="preserve">Pledges receivable, % of total assets</t>
  </si>
  <si>
    <t xml:space="preserve">High = gifts booked as revenue but not yet received in cash</t>
  </si>
  <si>
    <t xml:space="preserve">Unrestricted months above / (below) reserve floor</t>
  </si>
  <si>
    <t xml:space="preserve">Compared with the reserve floor on Inputs</t>
  </si>
  <si>
    <t xml:space="preserve">6. FIVE-YEAR SUMMARY (FY2021-FY2025)</t>
  </si>
  <si>
    <t xml:space="preserve">What it tells you</t>
  </si>
  <si>
    <t xml:space="preserve">Revenue growth (CAGR)</t>
  </si>
  <si>
    <t xml:space="preserve">Starts from a low FY2021, so read it with the volatility below</t>
  </si>
  <si>
    <t xml:space="preserve">Expense growth (CAGR)</t>
  </si>
  <si>
    <t xml:space="preserve">Costs compound steadily</t>
  </si>
  <si>
    <t xml:space="preserve">Revenue volatility (coefficient of variation)</t>
  </si>
  <si>
    <t xml:space="preserve">Std. deviation / average. Higher = less predictable</t>
  </si>
  <si>
    <t xml:space="preserve">Expense volatility (coefficient of variation)</t>
  </si>
  <si>
    <t xml:space="preserve">Compare with revenue: costs move more steadily</t>
  </si>
  <si>
    <t xml:space="preserve">Cumulative surplus / (deficit)</t>
  </si>
  <si>
    <t xml:space="preserve">Five years combined</t>
  </si>
  <si>
    <t xml:space="preserve">Years in deficit</t>
  </si>
  <si>
    <t xml:space="preserve">count</t>
  </si>
  <si>
    <t xml:space="preserve">Largest revenue year</t>
  </si>
  <si>
    <t xml:space="preserve">Smallest revenue year</t>
  </si>
  <si>
    <t xml:space="preserve">Gap between these = size of the swing</t>
  </si>
  <si>
    <t xml:space="preserve">Tab 3 - Forecast FY2026-FY2028  |  FY2025 = actual from the Form 990  |  Green = linked from another tab, black = calculated here</t>
  </si>
  <si>
    <t xml:space="preserve">DRIVERS IN USE (from the active scenario on the Scenarios tab)</t>
  </si>
  <si>
    <t xml:space="preserve">Source</t>
  </si>
  <si>
    <t xml:space="preserve">Scenarios tab, live column (Base case = Inputs C47)</t>
  </si>
  <si>
    <t xml:space="preserve">Scenarios tab, live column (Base case = Inputs C48)</t>
  </si>
  <si>
    <t xml:space="preserve">Scenarios tab, live column (Base case = Inputs C49)</t>
  </si>
  <si>
    <t xml:space="preserve">Scenarios tab, live column (Base case = Inputs C50)</t>
  </si>
  <si>
    <t xml:space="preserve">Include major one-time gifts? (1 = yes)</t>
  </si>
  <si>
    <t xml:space="preserve">Scenarios tab, live column (Base case = Inputs C51)</t>
  </si>
  <si>
    <t xml:space="preserve">Scenarios tab, live column (Base case = Inputs C52)</t>
  </si>
  <si>
    <t xml:space="preserve">Major gift frequency (years) / years to spread each gift</t>
  </si>
  <si>
    <t xml:space="preserve">Scenarios tab, live column (Base case = Inputs C53)</t>
  </si>
  <si>
    <t xml:space="preserve">Scenarios tab, live column (Base case = Inputs C54)</t>
  </si>
  <si>
    <t xml:space="preserve">Scenarios tab, live column (Base case = Inputs C55)</t>
  </si>
  <si>
    <t xml:space="preserve">Investment &amp; other revenue ($ / year)</t>
  </si>
  <si>
    <t xml:space="preserve">Scenarios tab, live column (Base case = Inputs C56)</t>
  </si>
  <si>
    <t xml:space="preserve">Scenarios tab, live column (Base case = Inputs C57)</t>
  </si>
  <si>
    <t xml:space="preserve">Reserve floor (months of expenses)</t>
  </si>
  <si>
    <t xml:space="preserve">Scenarios tab, live column (Base case = Inputs C59)</t>
  </si>
  <si>
    <t xml:space="preserve">PROJECTION ($)</t>
  </si>
  <si>
    <t xml:space="preserve">FY2025 Actual</t>
  </si>
  <si>
    <t xml:space="preserve">FY2026</t>
  </si>
  <si>
    <t xml:space="preserve">FY2027</t>
  </si>
  <si>
    <t xml:space="preserve">FY2028</t>
  </si>
  <si>
    <t xml:space="preserve">How it's calculated</t>
  </si>
  <si>
    <t xml:space="preserve">Year number (helper for gift timing)</t>
  </si>
  <si>
    <t xml:space="preserve">Non-government recurring contributions</t>
  </si>
  <si>
    <t xml:space="preserve">FY2025 base grown at the non-government growth rate</t>
  </si>
  <si>
    <t xml:space="preserve">FY2025 base grown at the government growth rate</t>
  </si>
  <si>
    <t xml:space="preserve">Program service revenue (school contracts)</t>
  </si>
  <si>
    <t xml:space="preserve">FY2025 actual grown at the program revenue growth rate</t>
  </si>
  <si>
    <t xml:space="preserve">Held flat</t>
  </si>
  <si>
    <t xml:space="preserve">Recurring revenue</t>
  </si>
  <si>
    <t xml:space="preserve">Everything except one-time gifts</t>
  </si>
  <si>
    <t xml:space="preserve">Major one-time gift (booked as revenue)</t>
  </si>
  <si>
    <t xml:space="preserve">Booked in full the year it is pledged: every N years after the last gift</t>
  </si>
  <si>
    <t xml:space="preserve">Total revenue (as reported)</t>
  </si>
  <si>
    <t xml:space="preserve">Recurring revenue + one-time gift</t>
  </si>
  <si>
    <t xml:space="preserve">Prior year x (1 + expense growth)</t>
  </si>
  <si>
    <t xml:space="preserve">Results</t>
  </si>
  <si>
    <t xml:space="preserve">Structural surplus / (deficit) before one-time gifts</t>
  </si>
  <si>
    <t xml:space="preserve">KEY: recurring revenue - expenses. Shows whether the base budget pays for itself</t>
  </si>
  <si>
    <t xml:space="preserve">Reported surplus / (deficit)</t>
  </si>
  <si>
    <t xml:space="preserve">What the Form 990 would show (includes the one-time gift)</t>
  </si>
  <si>
    <t xml:space="preserve">Structural margin</t>
  </si>
  <si>
    <t xml:space="preserve">Structural surplus / recurring revenue</t>
  </si>
  <si>
    <t xml:space="preserve">Unrestricted reserves (the freely spendable cushion)</t>
  </si>
  <si>
    <t xml:space="preserve">Unrestricted net assets, beginning of year</t>
  </si>
  <si>
    <t xml:space="preserve">Prior year's ending balance</t>
  </si>
  <si>
    <t xml:space="preserve">+ Major gift released to operations</t>
  </si>
  <si>
    <t xml:space="preserve">Each gift is a multi-year pledge, spread evenly over N years starting the year it is booked</t>
  </si>
  <si>
    <t xml:space="preserve">Unrestricted net assets, end of year</t>
  </si>
  <si>
    <t xml:space="preserve">Beginning + structural surplus + gift released</t>
  </si>
  <si>
    <t xml:space="preserve">KEY: the runway</t>
  </si>
  <si>
    <t xml:space="preserve">Months above / (below) the reserve floor</t>
  </si>
  <si>
    <t xml:space="preserve">Negative = below the floor</t>
  </si>
  <si>
    <t xml:space="preserve">Status</t>
  </si>
  <si>
    <t xml:space="preserve">HEADLINE</t>
  </si>
  <si>
    <t xml:space="preserve">Unrestricted reserves at end of FY2028</t>
  </si>
  <si>
    <t xml:space="preserve">Months of runway at end of FY2028</t>
  </si>
  <si>
    <t xml:space="preserve">First year below the reserve floor</t>
  </si>
  <si>
    <t xml:space="preserve">Cumulative structural deficit, FY2026-FY2028</t>
  </si>
  <si>
    <t xml:space="preserve">Check: FY2025 total revenue ties to Inputs</t>
  </si>
  <si>
    <t xml:space="preserve">Simplifications: (1) recurring contributions are treated as available in the year received; (2) the existing $6.5M of restricted net assets is not released into the forecast (its timing is not public), which makes the runway conservative; (3) expenses grow at one rate.</t>
  </si>
  <si>
    <t xml:space="preserve">Tab 4 - Scenarios  |  Pick a scenario in the yellow cell; the Forecast tab updates.  All five scenarios are also calculated side by side below.</t>
  </si>
  <si>
    <t xml:space="preserve">SCENARIO SELECTOR</t>
  </si>
  <si>
    <t xml:space="preserve">Active scenario (drives the Forecast tab)</t>
  </si>
  <si>
    <t xml:space="preserve">Base</t>
  </si>
  <si>
    <t xml:space="preserve">Click the cell and use the dropdown arrow</t>
  </si>
  <si>
    <t xml:space="preserve">Scenario number (helper)</t>
  </si>
  <si>
    <t xml:space="preserve">SCENARIO DRIVERS  (green = linked to Base, blue = scenario override)</t>
  </si>
  <si>
    <t xml:space="preserve">No major gift</t>
  </si>
  <si>
    <t xml:space="preserve">Government cut</t>
  </si>
  <si>
    <t xml:space="preserve">Cost discipline</t>
  </si>
  <si>
    <t xml:space="preserve">Combined shock</t>
  </si>
  <si>
    <t xml:space="preserve">LIVE (in use)</t>
  </si>
  <si>
    <t xml:space="preserve">Notes</t>
  </si>
  <si>
    <t xml:space="preserve">What changes</t>
  </si>
  <si>
    <t xml:space="preserve">Inputs tab assumptions</t>
  </si>
  <si>
    <t xml:space="preserve">No new large gift</t>
  </si>
  <si>
    <t xml:space="preserve">Government grants cut (row 24)</t>
  </si>
  <si>
    <t xml:space="preserve">Expenses grow 3%, major gifts continue</t>
  </si>
  <si>
    <t xml:space="preserve">No new gift AND government cut</t>
  </si>
  <si>
    <t xml:space="preserve">Cut applied to the FY2025 base</t>
  </si>
  <si>
    <t xml:space="preserve">0 = no new major gift</t>
  </si>
  <si>
    <t xml:space="preserve">Major gift frequency (years)</t>
  </si>
  <si>
    <t xml:space="preserve">Cost discipline caps growth at 3%</t>
  </si>
  <si>
    <t xml:space="preserve">Government grants cut (Government cut and Combined shock)</t>
  </si>
  <si>
    <t xml:space="preserve">Lever: 50% = government grants fall by half from FY2026 (about -$495k a year)</t>
  </si>
  <si>
    <t xml:space="preserve">SCENARIO RESULTS  (FY2026-FY2028)</t>
  </si>
  <si>
    <t xml:space="preserve">What it means</t>
  </si>
  <si>
    <t xml:space="preserve">Unrestricted reserves, end of FY2028</t>
  </si>
  <si>
    <t xml:space="preserve">The freely spendable cushion left</t>
  </si>
  <si>
    <t xml:space="preserve">Months of runway, end of FY2028</t>
  </si>
  <si>
    <t xml:space="preserve">KEY: compare with the 3-month floor</t>
  </si>
  <si>
    <t xml:space="preserve">Lowest runway in FY2026-FY2028 (months)</t>
  </si>
  <si>
    <t xml:space="preserve">None = stays above the floor</t>
  </si>
  <si>
    <t xml:space="preserve">Recurring revenue minus expenses, three years combined</t>
  </si>
  <si>
    <t xml:space="preserve">Break-even gift needed every N years</t>
  </si>
  <si>
    <t xml:space="preserve">KEY: average structural deficit x gift frequency. Compare with the gift size in row 16</t>
  </si>
  <si>
    <t xml:space="preserve">Recurring revenue increase needed to balance FY2026</t>
  </si>
  <si>
    <t xml:space="preserve">Or the equivalent cut in FY2026 expenses</t>
  </si>
  <si>
    <t xml:space="preserve">Check: live scenario matches the Forecast tab</t>
  </si>
  <si>
    <t xml:space="preserve">CALCULATION ENGINE  (same logic as the Forecast tab, run for every scenario at once)</t>
  </si>
  <si>
    <t xml:space="preserve">FY2025A</t>
  </si>
  <si>
    <t xml:space="preserve">Year number (helper)</t>
  </si>
  <si>
    <t xml:space="preserve">Major one-time gift (booked)</t>
  </si>
  <si>
    <t xml:space="preserve">Structural surplus / (deficit)</t>
  </si>
  <si>
    <t xml:space="preserve">Major gift released to operations</t>
  </si>
  <si>
    <t xml:space="preserve">Below reserve floor?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</si>
</sst>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.0,,\M"/>
    <numFmt numFmtId="166" formatCode="\$#,##0.0,,\M;&quot;($&quot;#,##0.0,,&quot;M)&quot;"/>
    <numFmt numFmtId="167" formatCode="0.0&quot; mo&quot;"/>
    <numFmt numFmtId="168" formatCode="0.0&quot; mo&quot;;\(0.0&quot;) mo&quot;"/>
    <numFmt numFmtId="169" formatCode="0%"/>
    <numFmt numFmtId="170" formatCode="\$#,##0;&quot;($&quot;#,##0\);\-"/>
    <numFmt numFmtId="171" formatCode="0.0;\(0.0\);\-"/>
    <numFmt numFmtId="172" formatCode="0"/>
    <numFmt numFmtId="173" formatCode="\$#,##0,,\M"/>
    <numFmt numFmtId="174" formatCode="0.0"/>
    <numFmt numFmtId="175" formatCode="#,##0"/>
    <numFmt numFmtId="176" formatCode="0.0%;\(0.0%\);\-"/>
    <numFmt numFmtId="177" formatCode="\$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9"/>
      <color rgb="FF52514E"/>
      <name val="Arial"/>
      <family val="0"/>
      <charset val="1"/>
    </font>
    <font>
      <b val="true"/>
      <sz val="20"/>
      <color rgb="FF0B0B0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B0B0B"/>
      <name val="Arial"/>
      <family val="2"/>
    </font>
    <font>
      <sz val="9"/>
      <color rgb="FF52514E"/>
      <name val="Arial"/>
      <family val="2"/>
    </font>
    <font>
      <b val="true"/>
      <sz val="9"/>
      <color rgb="FF52514E"/>
      <name val="Arial"/>
      <family val="2"/>
    </font>
    <font>
      <b val="true"/>
      <sz val="9"/>
      <color rgb="FF0B0B0B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5FA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E6E5E1"/>
      </patternFill>
    </fill>
    <fill>
      <patternFill patternType="solid">
        <fgColor rgb="FFF2F2F2"/>
        <bgColor rgb="FFF2F5FA"/>
      </patternFill>
    </fill>
    <fill>
      <patternFill patternType="solid">
        <fgColor rgb="FFE2EFDA"/>
        <bgColor rgb="FFE6E5E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9D3E3"/>
      </left>
      <right style="thin">
        <color rgb="FFC9D3E3"/>
      </right>
      <top style="thin">
        <color rgb="FFC9D3E3"/>
      </top>
      <bottom/>
      <diagonal/>
    </border>
    <border diagonalUp="false" diagonalDown="false">
      <left style="thin">
        <color rgb="FFC9D3E3"/>
      </left>
      <right style="thin">
        <color rgb="FFC9D3E3"/>
      </right>
      <top/>
      <bottom/>
      <diagonal/>
    </border>
    <border diagonalUp="false" diagonalDown="false">
      <left style="thin">
        <color rgb="FFC9D3E3"/>
      </left>
      <right style="thin">
        <color rgb="FFC9D3E3"/>
      </right>
      <top/>
      <bottom style="thin">
        <color rgb="FFC9D3E3"/>
      </bottom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0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9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EB9"/>
      <rgbColor rgb="FF8C8B87"/>
      <rgbColor rgb="FF9999FF"/>
      <rgbColor rgb="FF993366"/>
      <rgbColor rgb="FFF2F2F2"/>
      <rgbColor rgb="FFF2F5FA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E6E5E1"/>
      <rgbColor rgb="FF99CCFF"/>
      <rgbColor rgb="FFFF99CC"/>
      <rgbColor rgb="FFCC99FF"/>
      <rgbColor rgb="FFD9D9D9"/>
      <rgbColor rgb="FF2A78D6"/>
      <rgbColor rgb="FF33CCCC"/>
      <rgbColor rgb="FF99CC00"/>
      <rgbColor rgb="FFFFCC00"/>
      <rgbColor rgb="FFEDA100"/>
      <rgbColor rgb="FFEB6834"/>
      <rgbColor rgb="FF555555"/>
      <rgbColor rgb="FF999999"/>
      <rgbColor rgb="FF1F3864"/>
      <rgbColor rgb="FF1BAF7A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0b0b"/>
                </a:solidFill>
                <a:latin typeface="Arial"/>
              </a:defRPr>
            </a:pPr>
            <a:r>
              <a:rPr b="1" sz="1100" spc="-1" strike="noStrike">
                <a:solidFill>
                  <a:srgbClr val="0b0b0b"/>
                </a:solidFill>
                <a:latin typeface="Arial"/>
              </a:rPr>
              <a:t>Revenue swings with large gifts; expenses climb steadily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Dashboard!A67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Dashboard!$B$66:$I$66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FY2026F</c:v>
                </c:pt>
                <c:pt idx="6">
                  <c:v>FY2027F</c:v>
                </c:pt>
                <c:pt idx="7">
                  <c:v>FY2028F</c:v>
                </c:pt>
              </c:strCache>
            </c:strRef>
          </c:cat>
          <c:val>
            <c:numRef>
              <c:f>Dashboard!$B$67:$I$67</c:f>
              <c:numCache>
                <c:formatCode>\$#,##0;"($"#,##0\);\-</c:formatCode>
                <c:ptCount val="8"/>
                <c:pt idx="0">
                  <c:v>4386114</c:v>
                </c:pt>
                <c:pt idx="1">
                  <c:v>9274759</c:v>
                </c:pt>
                <c:pt idx="2">
                  <c:v>11092506</c:v>
                </c:pt>
                <c:pt idx="3">
                  <c:v>8228926</c:v>
                </c:pt>
                <c:pt idx="4">
                  <c:v>6964065</c:v>
                </c:pt>
                <c:pt idx="5">
                  <c:v>7120180.89</c:v>
                </c:pt>
                <c:pt idx="6">
                  <c:v>12280980.2567</c:v>
                </c:pt>
                <c:pt idx="7">
                  <c:v>7446603.604401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Dashboard!A68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eb6834"/>
            </a:solidFill>
            <a:ln w="255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Dashboard!$B$66:$I$66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FY2026F</c:v>
                </c:pt>
                <c:pt idx="6">
                  <c:v>FY2027F</c:v>
                </c:pt>
                <c:pt idx="7">
                  <c:v>FY2028F</c:v>
                </c:pt>
              </c:strCache>
            </c:strRef>
          </c:cat>
          <c:val>
            <c:numRef>
              <c:f>Dashboard!$B$68:$I$68</c:f>
              <c:numCache>
                <c:formatCode>\$#,##0;"($"#,##0\);\-</c:formatCode>
                <c:ptCount val="8"/>
                <c:pt idx="0">
                  <c:v>5272685</c:v>
                </c:pt>
                <c:pt idx="1">
                  <c:v>5841559</c:v>
                </c:pt>
                <c:pt idx="2">
                  <c:v>6256478</c:v>
                </c:pt>
                <c:pt idx="3">
                  <c:v>7774695</c:v>
                </c:pt>
                <c:pt idx="4">
                  <c:v>8074019</c:v>
                </c:pt>
                <c:pt idx="5">
                  <c:v>8558460.14</c:v>
                </c:pt>
                <c:pt idx="6">
                  <c:v>9071967.7484</c:v>
                </c:pt>
                <c:pt idx="7">
                  <c:v>9616285.813304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5388369"/>
        <c:axId val="22536963"/>
      </c:lineChart>
      <c:catAx>
        <c:axId val="353883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bfbeb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22536963"/>
        <c:crosses val="autoZero"/>
        <c:auto val="1"/>
        <c:lblAlgn val="ctr"/>
        <c:lblOffset val="100"/>
        <c:noMultiLvlLbl val="0"/>
      </c:catAx>
      <c:valAx>
        <c:axId val="22536963"/>
        <c:scaling>
          <c:orientation val="minMax"/>
        </c:scaling>
        <c:delete val="0"/>
        <c:axPos val="l"/>
        <c:majorGridlines>
          <c:spPr>
            <a:ln w="6480">
              <a:solidFill>
                <a:srgbClr val="e6e5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353883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2514e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0b0b"/>
                </a:solidFill>
                <a:latin typeface="Arial"/>
              </a:defRPr>
            </a:pPr>
            <a:r>
              <a:rPr b="1" sz="1100" spc="-1" strike="noStrike">
                <a:solidFill>
                  <a:srgbClr val="0b0b0b"/>
                </a:solidFill>
                <a:latin typeface="Arial"/>
              </a:rPr>
              <a:t>Unrestricted runway is shrinking toward the 3-month floor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Dashboard!A69</c:f>
              <c:strCache>
                <c:ptCount val="1"/>
                <c:pt idx="0">
                  <c:v>Months of unrestricted reserves</c:v>
                </c:pt>
              </c:strCache>
            </c:strRef>
          </c:tx>
          <c:spPr>
            <a:solidFill>
              <a:srgbClr val="2a78d6"/>
            </a:solidFill>
            <a:ln w="255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Dashboard!$B$66:$I$66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FY2026F</c:v>
                </c:pt>
                <c:pt idx="6">
                  <c:v>FY2027F</c:v>
                </c:pt>
                <c:pt idx="7">
                  <c:v>FY2028F</c:v>
                </c:pt>
              </c:strCache>
            </c:strRef>
          </c:cat>
          <c:val>
            <c:numRef>
              <c:f>Dashboard!$B$69:$I$69</c:f>
              <c:numCache>
                <c:formatCode>0.0;\(0.0\);\-</c:formatCode>
                <c:ptCount val="8"/>
                <c:pt idx="0">
                  <c:v>6.73273218483562</c:v>
                </c:pt>
                <c:pt idx="1">
                  <c:v>15.0982612689523</c:v>
                </c:pt>
                <c:pt idx="2">
                  <c:v>13.2742734810224</c:v>
                </c:pt>
                <c:pt idx="3">
                  <c:v>9.57815837148596</c:v>
                </c:pt>
                <c:pt idx="4">
                  <c:v>9.5070809221529</c:v>
                </c:pt>
                <c:pt idx="5">
                  <c:v>6.95230216962838</c:v>
                </c:pt>
                <c:pt idx="6">
                  <c:v>5.84318116749799</c:v>
                </c:pt>
                <c:pt idx="7">
                  <c:v>4.3647792305315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Dashboard!A70</c:f>
              <c:strCache>
                <c:ptCount val="1"/>
                <c:pt idx="0">
                  <c:v>Reserve floor (months)</c:v>
                </c:pt>
              </c:strCache>
            </c:strRef>
          </c:tx>
          <c:spPr>
            <a:solidFill>
              <a:srgbClr val="8c8b87"/>
            </a:solidFill>
            <a:ln w="25560">
              <a:solidFill>
                <a:srgbClr val="8c8b87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Dashboard!$B$66:$I$66</c:f>
              <c:strCache>
                <c:ptCount val="8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  <c:pt idx="5">
                  <c:v>FY2026F</c:v>
                </c:pt>
                <c:pt idx="6">
                  <c:v>FY2027F</c:v>
                </c:pt>
                <c:pt idx="7">
                  <c:v>FY2028F</c:v>
                </c:pt>
              </c:strCache>
            </c:strRef>
          </c:cat>
          <c:val>
            <c:numRef>
              <c:f>Dashboard!$B$70:$I$70</c:f>
              <c:numCache>
                <c:formatCode>0.0;\(0.0\);\-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025433"/>
        <c:axId val="83086951"/>
      </c:lineChart>
      <c:catAx>
        <c:axId val="74025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bfbeb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83086951"/>
        <c:crosses val="autoZero"/>
        <c:auto val="1"/>
        <c:lblAlgn val="ctr"/>
        <c:lblOffset val="100"/>
        <c:noMultiLvlLbl val="0"/>
      </c:catAx>
      <c:valAx>
        <c:axId val="83086951"/>
        <c:scaling>
          <c:orientation val="minMax"/>
        </c:scaling>
        <c:delete val="0"/>
        <c:axPos val="l"/>
        <c:majorGridlines>
          <c:spPr>
            <a:ln w="6480">
              <a:solidFill>
                <a:srgbClr val="e6e5e1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52514e"/>
                    </a:solidFill>
                    <a:latin typeface="Arial"/>
                  </a:defRPr>
                </a:pPr>
                <a:r>
                  <a:rPr b="1" sz="900" spc="-1" strike="noStrike">
                    <a:solidFill>
                      <a:srgbClr val="52514e"/>
                    </a:solidFill>
                    <a:latin typeface="Arial"/>
                  </a:rPr>
                  <a:t>Months of expenses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74025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2514e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0b0b"/>
                </a:solidFill>
                <a:latin typeface="Arial"/>
              </a:defRPr>
            </a:pPr>
            <a:r>
              <a:rPr b="1" sz="1100" spc="-1" strike="noStrike">
                <a:solidFill>
                  <a:srgbClr val="0b0b0b"/>
                </a:solidFill>
                <a:latin typeface="Arial"/>
              </a:rPr>
              <a:t>Funding mix: about 90% of revenue is contributions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Dashboard!A71</c:f>
              <c:strCache>
                <c:ptCount val="1"/>
                <c:pt idx="0">
                  <c:v>Government grants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Dashboard!$B$71:$F$71</c:f>
              <c:numCache>
                <c:formatCode>\$#,##0;"($"#,##0\);\-</c:formatCode>
                <c:ptCount val="5"/>
                <c:pt idx="0">
                  <c:v>1632069</c:v>
                </c:pt>
                <c:pt idx="1">
                  <c:v>42688</c:v>
                </c:pt>
                <c:pt idx="2">
                  <c:v>163214</c:v>
                </c:pt>
                <c:pt idx="3">
                  <c:v>580383</c:v>
                </c:pt>
                <c:pt idx="4">
                  <c:v>989248</c:v>
                </c:pt>
              </c:numCache>
            </c:numRef>
          </c:val>
        </c:ser>
        <c:ser>
          <c:idx val="1"/>
          <c:order val="1"/>
          <c:tx>
            <c:strRef>
              <c:f>Dashboard!A72</c:f>
              <c:strCache>
                <c:ptCount val="1"/>
                <c:pt idx="0">
                  <c:v>Other contributions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Dashboard!$B$72:$F$72</c:f>
              <c:numCache>
                <c:formatCode>\$#,##0;"($"#,##0\);\-</c:formatCode>
                <c:ptCount val="5"/>
                <c:pt idx="0">
                  <c:v>2182750</c:v>
                </c:pt>
                <c:pt idx="1">
                  <c:v>8540130</c:v>
                </c:pt>
                <c:pt idx="2">
                  <c:v>10055705</c:v>
                </c:pt>
                <c:pt idx="3">
                  <c:v>6745098</c:v>
                </c:pt>
                <c:pt idx="4">
                  <c:v>5203863</c:v>
                </c:pt>
              </c:numCache>
            </c:numRef>
          </c:val>
        </c:ser>
        <c:ser>
          <c:idx val="2"/>
          <c:order val="2"/>
          <c:tx>
            <c:strRef>
              <c:f>Dashboard!A73</c:f>
              <c:strCache>
                <c:ptCount val="1"/>
                <c:pt idx="0">
                  <c:v>Program service revenue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Dashboard!$B$73:$F$73</c:f>
              <c:numCache>
                <c:formatCode>\$#,##0;"($"#,##0\);\-</c:formatCode>
                <c:ptCount val="5"/>
                <c:pt idx="0">
                  <c:v>556500</c:v>
                </c:pt>
                <c:pt idx="1">
                  <c:v>698900</c:v>
                </c:pt>
                <c:pt idx="2">
                  <c:v>718500</c:v>
                </c:pt>
                <c:pt idx="3">
                  <c:v>655750</c:v>
                </c:pt>
                <c:pt idx="4">
                  <c:v>560000</c:v>
                </c:pt>
              </c:numCache>
            </c:numRef>
          </c:val>
        </c:ser>
        <c:ser>
          <c:idx val="3"/>
          <c:order val="3"/>
          <c:tx>
            <c:strRef>
              <c:f>Dashboard!A74</c:f>
              <c:strCache>
                <c:ptCount val="1"/>
                <c:pt idx="0">
                  <c:v>Investment &amp; other</c:v>
                </c:pt>
              </c:strCache>
            </c:strRef>
          </c:tx>
          <c:spPr>
            <a:solidFill>
              <a:srgbClr val="eda100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Dashboard!$B$74:$F$74</c:f>
              <c:numCache>
                <c:formatCode>\$#,##0;"($"#,##0\);\-</c:formatCode>
                <c:ptCount val="5"/>
                <c:pt idx="0">
                  <c:v>14795</c:v>
                </c:pt>
                <c:pt idx="1">
                  <c:v>-6959</c:v>
                </c:pt>
                <c:pt idx="2">
                  <c:v>155087</c:v>
                </c:pt>
                <c:pt idx="3">
                  <c:v>247695</c:v>
                </c:pt>
                <c:pt idx="4">
                  <c:v>210954</c:v>
                </c:pt>
              </c:numCache>
            </c:numRef>
          </c:val>
        </c:ser>
        <c:gapWidth val="60"/>
        <c:overlap val="100"/>
        <c:axId val="22570241"/>
        <c:axId val="12686521"/>
      </c:barChart>
      <c:catAx>
        <c:axId val="225702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bfbeb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12686521"/>
        <c:crosses val="autoZero"/>
        <c:auto val="1"/>
        <c:lblAlgn val="ctr"/>
        <c:lblOffset val="100"/>
        <c:noMultiLvlLbl val="0"/>
      </c:catAx>
      <c:valAx>
        <c:axId val="12686521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e6e5e1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225702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2514e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0b0b"/>
                </a:solidFill>
                <a:latin typeface="Arial"/>
              </a:defRPr>
            </a:pPr>
            <a:r>
              <a:rPr b="1" sz="1100" spc="-1" strike="noStrike">
                <a:solidFill>
                  <a:srgbClr val="0b0b0b"/>
                </a:solidFill>
                <a:latin typeface="Arial"/>
              </a:rPr>
              <a:t>Program share of spending sits below the 75% guideline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Dashboard!A75</c:f>
              <c:strCache>
                <c:ptCount val="1"/>
                <c:pt idx="0">
                  <c:v>Program services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Dashboard!$B$75:$F$75</c:f>
              <c:numCache>
                <c:formatCode>\$#,##0;"($"#,##0\);\-</c:formatCode>
                <c:ptCount val="5"/>
                <c:pt idx="0">
                  <c:v>4038909</c:v>
                </c:pt>
                <c:pt idx="1">
                  <c:v>4174201</c:v>
                </c:pt>
                <c:pt idx="2">
                  <c:v>4305748</c:v>
                </c:pt>
                <c:pt idx="3">
                  <c:v>5609813</c:v>
                </c:pt>
                <c:pt idx="4">
                  <c:v>5710185</c:v>
                </c:pt>
              </c:numCache>
            </c:numRef>
          </c:val>
        </c:ser>
        <c:ser>
          <c:idx val="1"/>
          <c:order val="1"/>
          <c:tx>
            <c:strRef>
              <c:f>Dashboard!A76</c:f>
              <c:strCache>
                <c:ptCount val="1"/>
                <c:pt idx="0">
                  <c:v>Management &amp; general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Dashboard!$B$76:$F$76</c:f>
              <c:numCache>
                <c:formatCode>\$#,##0;"($"#,##0\);\-</c:formatCode>
                <c:ptCount val="5"/>
                <c:pt idx="0">
                  <c:v>553847</c:v>
                </c:pt>
                <c:pt idx="1">
                  <c:v>712251</c:v>
                </c:pt>
                <c:pt idx="2">
                  <c:v>907414</c:v>
                </c:pt>
                <c:pt idx="3">
                  <c:v>819140</c:v>
                </c:pt>
                <c:pt idx="4">
                  <c:v>1027814</c:v>
                </c:pt>
              </c:numCache>
            </c:numRef>
          </c:val>
        </c:ser>
        <c:ser>
          <c:idx val="2"/>
          <c:order val="2"/>
          <c:tx>
            <c:strRef>
              <c:f>Dashboard!A77</c:f>
              <c:strCache>
                <c:ptCount val="1"/>
                <c:pt idx="0">
                  <c:v>Fundraising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Dashboard!$B$66:$F$66</c:f>
              <c:strCache>
                <c:ptCount val="5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  <c:pt idx="4">
                  <c:v>FY2025</c:v>
                </c:pt>
              </c:strCache>
            </c:strRef>
          </c:cat>
          <c:val>
            <c:numRef>
              <c:f>Dashboard!$B$77:$F$77</c:f>
              <c:numCache>
                <c:formatCode>\$#,##0;"($"#,##0\);\-</c:formatCode>
                <c:ptCount val="5"/>
                <c:pt idx="0">
                  <c:v>679929</c:v>
                </c:pt>
                <c:pt idx="1">
                  <c:v>955107</c:v>
                </c:pt>
                <c:pt idx="2">
                  <c:v>1043316</c:v>
                </c:pt>
                <c:pt idx="3">
                  <c:v>1345742</c:v>
                </c:pt>
                <c:pt idx="4">
                  <c:v>1336020</c:v>
                </c:pt>
              </c:numCache>
            </c:numRef>
          </c:val>
        </c:ser>
        <c:gapWidth val="60"/>
        <c:overlap val="100"/>
        <c:axId val="13520881"/>
        <c:axId val="24605838"/>
      </c:barChart>
      <c:catAx>
        <c:axId val="135208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bfbeb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24605838"/>
        <c:crosses val="autoZero"/>
        <c:auto val="1"/>
        <c:lblAlgn val="ctr"/>
        <c:lblOffset val="100"/>
        <c:noMultiLvlLbl val="0"/>
      </c:catAx>
      <c:valAx>
        <c:axId val="24605838"/>
        <c:scaling>
          <c:orientation val="minMax"/>
        </c:scaling>
        <c:delete val="0"/>
        <c:axPos val="l"/>
        <c:majorGridlines>
          <c:spPr>
            <a:ln w="6480">
              <a:solidFill>
                <a:srgbClr val="e6e5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135208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2514e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0b0b0b"/>
                </a:solidFill>
                <a:latin typeface="Arial"/>
              </a:defRPr>
            </a:pPr>
            <a:r>
              <a:rPr b="1" sz="1100" spc="-1" strike="noStrike">
                <a:solidFill>
                  <a:srgbClr val="0b0b0b"/>
                </a:solidFill>
                <a:latin typeface="Arial"/>
              </a:rPr>
              <a:t>Runway at end of FY2028 by scenario (months; floor =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Dashboard!B79</c:f>
              <c:strCache>
                <c:ptCount val="1"/>
                <c:pt idx="0">
                  <c:v>Runway, end FY2028 (months)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0b0b0b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Dashboard!$A$80:$A$84</c:f>
              <c:strCache>
                <c:ptCount val="5"/>
                <c:pt idx="0">
                  <c:v>Base</c:v>
                </c:pt>
                <c:pt idx="1">
                  <c:v>No major gift</c:v>
                </c:pt>
                <c:pt idx="2">
                  <c:v>Government cut</c:v>
                </c:pt>
                <c:pt idx="3">
                  <c:v>Cost discipline</c:v>
                </c:pt>
                <c:pt idx="4">
                  <c:v>Combined shock</c:v>
                </c:pt>
              </c:strCache>
            </c:strRef>
          </c:cat>
          <c:val>
            <c:numRef>
              <c:f>Dashboard!$B$80:$B$84</c:f>
              <c:numCache>
                <c:formatCode>0.0;\(0.0\);\-</c:formatCode>
                <c:ptCount val="5"/>
                <c:pt idx="0">
                  <c:v>4.3647792305315</c:v>
                </c:pt>
                <c:pt idx="1">
                  <c:v>1.24507162382794</c:v>
                </c:pt>
                <c:pt idx="2">
                  <c:v>2.51308052422173</c:v>
                </c:pt>
                <c:pt idx="3">
                  <c:v>6.85476784231625</c:v>
                </c:pt>
                <c:pt idx="4">
                  <c:v>-0.606627082481832</c:v>
                </c:pt>
              </c:numCache>
            </c:numRef>
          </c:val>
        </c:ser>
        <c:gapWidth val="50"/>
        <c:overlap val="0"/>
        <c:axId val="58683"/>
        <c:axId val="28655249"/>
      </c:barChart>
      <c:catAx>
        <c:axId val="5868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6480">
            <a:solidFill>
              <a:srgbClr val="bfbeb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28655249"/>
        <c:crosses val="autoZero"/>
        <c:auto val="1"/>
        <c:lblAlgn val="ctr"/>
        <c:lblOffset val="100"/>
        <c:noMultiLvlLbl val="0"/>
      </c:catAx>
      <c:valAx>
        <c:axId val="28655249"/>
        <c:scaling>
          <c:orientation val="minMax"/>
        </c:scaling>
        <c:delete val="0"/>
        <c:axPos val="l"/>
        <c:majorGridlines>
          <c:spPr>
            <a:ln w="6480">
              <a:solidFill>
                <a:srgbClr val="e6e5e1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2514e"/>
                </a:solidFill>
                <a:latin typeface="Arial"/>
              </a:defRPr>
            </a:pPr>
          </a:p>
        </c:txPr>
        <c:crossAx val="586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160920</xdr:rowOff>
    </xdr:from>
    <xdr:to>
      <xdr:col>6</xdr:col>
      <xdr:colOff>784440</xdr:colOff>
      <xdr:row>22</xdr:row>
      <xdr:rowOff>64440</xdr:rowOff>
    </xdr:to>
    <xdr:graphicFrame>
      <xdr:nvGraphicFramePr>
        <xdr:cNvPr id="0" name="Chart 1"/>
        <xdr:cNvGraphicFramePr/>
      </xdr:nvGraphicFramePr>
      <xdr:xfrm>
        <a:off x="2114640" y="1571760"/>
        <a:ext cx="554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6</xdr:row>
      <xdr:rowOff>160920</xdr:rowOff>
    </xdr:from>
    <xdr:to>
      <xdr:col>12</xdr:col>
      <xdr:colOff>784080</xdr:colOff>
      <xdr:row>22</xdr:row>
      <xdr:rowOff>64440</xdr:rowOff>
    </xdr:to>
    <xdr:graphicFrame>
      <xdr:nvGraphicFramePr>
        <xdr:cNvPr id="1" name="Chart 2"/>
        <xdr:cNvGraphicFramePr/>
      </xdr:nvGraphicFramePr>
      <xdr:xfrm>
        <a:off x="7825680" y="1571760"/>
        <a:ext cx="554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160560</xdr:rowOff>
    </xdr:from>
    <xdr:to>
      <xdr:col>6</xdr:col>
      <xdr:colOff>784440</xdr:colOff>
      <xdr:row>39</xdr:row>
      <xdr:rowOff>64080</xdr:rowOff>
    </xdr:to>
    <xdr:graphicFrame>
      <xdr:nvGraphicFramePr>
        <xdr:cNvPr id="2" name="Chart 3"/>
        <xdr:cNvGraphicFramePr/>
      </xdr:nvGraphicFramePr>
      <xdr:xfrm>
        <a:off x="2114640" y="4809960"/>
        <a:ext cx="554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23</xdr:row>
      <xdr:rowOff>160560</xdr:rowOff>
    </xdr:from>
    <xdr:to>
      <xdr:col>12</xdr:col>
      <xdr:colOff>784080</xdr:colOff>
      <xdr:row>39</xdr:row>
      <xdr:rowOff>64080</xdr:rowOff>
    </xdr:to>
    <xdr:graphicFrame>
      <xdr:nvGraphicFramePr>
        <xdr:cNvPr id="3" name="Chart 4"/>
        <xdr:cNvGraphicFramePr/>
      </xdr:nvGraphicFramePr>
      <xdr:xfrm>
        <a:off x="7825680" y="4809960"/>
        <a:ext cx="5543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160560</xdr:rowOff>
    </xdr:from>
    <xdr:to>
      <xdr:col>12</xdr:col>
      <xdr:colOff>761040</xdr:colOff>
      <xdr:row>55</xdr:row>
      <xdr:rowOff>2520</xdr:rowOff>
    </xdr:to>
    <xdr:graphicFrame>
      <xdr:nvGraphicFramePr>
        <xdr:cNvPr id="4" name="Chart 5"/>
        <xdr:cNvGraphicFramePr/>
      </xdr:nvGraphicFramePr>
      <xdr:xfrm>
        <a:off x="2114640" y="8048520"/>
        <a:ext cx="11231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8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3.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tr">
        <f aca="false">"Tab 5 - Dashboard  |  FY2021-FY2025 actual (Form 990), FY2026-FY2028 forecast  |  Active scenario: "&amp;Scenarios!C5</f>
        <v>Tab 5 - Dashboard  |  FY2021-FY2025 actual (Form 990), FY2026-FY2028 forecast  |  Active scenario: Base</v>
      </c>
    </row>
    <row r="4" customFormat="false" ht="15" hidden="false" customHeight="false" outlineLevel="0" collapsed="false">
      <c r="B4" s="3" t="s">
        <v>1</v>
      </c>
      <c r="C4" s="3"/>
      <c r="D4" s="3" t="s">
        <v>2</v>
      </c>
      <c r="E4" s="3"/>
      <c r="F4" s="3" t="s">
        <v>3</v>
      </c>
      <c r="G4" s="3"/>
      <c r="H4" s="3" t="s">
        <v>4</v>
      </c>
      <c r="I4" s="3"/>
      <c r="J4" s="3" t="s">
        <v>5</v>
      </c>
      <c r="K4" s="3"/>
      <c r="L4" s="3" t="s">
        <v>6</v>
      </c>
      <c r="M4" s="3"/>
    </row>
    <row r="5" customFormat="false" ht="33.75" hidden="false" customHeight="true" outlineLevel="0" collapsed="false">
      <c r="B5" s="4" t="n">
        <f aca="false">Inputs!G17</f>
        <v>6964065</v>
      </c>
      <c r="C5" s="4"/>
      <c r="D5" s="5" t="n">
        <f aca="false">Inputs!G26</f>
        <v>-1109954</v>
      </c>
      <c r="E5" s="5"/>
      <c r="F5" s="6" t="n">
        <f aca="false">Historical!G38</f>
        <v>9.5070809221529</v>
      </c>
      <c r="G5" s="6"/>
      <c r="H5" s="7" t="n">
        <f aca="false">Forecast!E41</f>
        <v>4.3647792305315</v>
      </c>
      <c r="I5" s="7"/>
      <c r="J5" s="4" t="n">
        <f aca="false">INDEX(Scenarios!C33:G33,Scenarios!C6)</f>
        <v>7198598.600804</v>
      </c>
      <c r="K5" s="4"/>
      <c r="L5" s="8" t="n">
        <f aca="false">Historical!G22</f>
        <v>0.707229571790703</v>
      </c>
      <c r="M5" s="8"/>
    </row>
    <row r="6" customFormat="false" ht="15" hidden="false" customHeight="false" outlineLevel="0" collapsed="false">
      <c r="B6" s="9" t="str">
        <f aca="false">"Down "&amp;TEXT(-Historical!G6,"0%")&amp;" vs FY2024"</f>
        <v>Down 15% vs FY2024</v>
      </c>
      <c r="C6" s="9"/>
      <c r="D6" s="9" t="str">
        <f aca="false">"Margin "&amp;TEXT(Historical!G32,"0%")</f>
        <v>Margin -16%</v>
      </c>
      <c r="E6" s="9"/>
      <c r="F6" s="9" t="str">
        <f aca="false">"Down from "&amp;TEXT(Historical!D38,"0.0")&amp;" mo in FY2022"</f>
        <v>Down from 15.1 mo in FY2022</v>
      </c>
      <c r="G6" s="9"/>
      <c r="H6" s="9" t="str">
        <f aca="false">"Active scenario: "&amp;Scenarios!C5</f>
        <v>Active scenario: Base</v>
      </c>
      <c r="I6" s="9"/>
      <c r="J6" s="9" t="str">
        <f aca="false">"Every "&amp;Scenarios!H17&amp;" yrs vs "&amp;TEXT(Scenarios!H16/1000000,"$0.0")&amp;"M assumed"</f>
        <v>Every 4 yrs vs $5.0M assumed</v>
      </c>
      <c r="K6" s="9"/>
      <c r="L6" s="9" t="str">
        <f aca="false">"Guideline: 75%+"</f>
        <v>Guideline: 75%+</v>
      </c>
      <c r="M6" s="9"/>
    </row>
    <row r="58" customFormat="false" ht="15" hidden="false" customHeight="false" outlineLevel="0" collapsed="false">
      <c r="B58" s="2" t="s">
        <v>7</v>
      </c>
    </row>
    <row r="65" customFormat="false" ht="15" hidden="false" customHeight="false" outlineLevel="0" collapsed="false">
      <c r="A65" s="10" t="s">
        <v>8</v>
      </c>
      <c r="B65" s="11"/>
      <c r="C65" s="11"/>
      <c r="D65" s="11"/>
      <c r="E65" s="11"/>
      <c r="F65" s="11"/>
      <c r="G65" s="11"/>
      <c r="H65" s="11"/>
      <c r="I65" s="11"/>
      <c r="J65" s="11"/>
    </row>
    <row r="66" customFormat="false" ht="15" hidden="false" customHeight="false" outlineLevel="0" collapsed="false">
      <c r="A66" s="12" t="s">
        <v>9</v>
      </c>
      <c r="B66" s="13" t="s">
        <v>10</v>
      </c>
      <c r="C66" s="13" t="s">
        <v>11</v>
      </c>
      <c r="D66" s="13" t="s">
        <v>12</v>
      </c>
      <c r="E66" s="13" t="s">
        <v>13</v>
      </c>
      <c r="F66" s="13" t="s">
        <v>14</v>
      </c>
      <c r="G66" s="13" t="s">
        <v>15</v>
      </c>
      <c r="H66" s="13" t="s">
        <v>16</v>
      </c>
      <c r="I66" s="13" t="s">
        <v>17</v>
      </c>
    </row>
    <row r="67" customFormat="false" ht="15" hidden="false" customHeight="false" outlineLevel="0" collapsed="false">
      <c r="A67" s="14" t="s">
        <v>18</v>
      </c>
      <c r="B67" s="15" t="n">
        <f aca="false">Inputs!C17</f>
        <v>4386114</v>
      </c>
      <c r="C67" s="15" t="n">
        <f aca="false">Inputs!D17</f>
        <v>9274759</v>
      </c>
      <c r="D67" s="15" t="n">
        <f aca="false">Inputs!E17</f>
        <v>11092506</v>
      </c>
      <c r="E67" s="15" t="n">
        <f aca="false">Inputs!F17</f>
        <v>8228926</v>
      </c>
      <c r="F67" s="15" t="n">
        <f aca="false">Inputs!G17</f>
        <v>6964065</v>
      </c>
      <c r="G67" s="15" t="n">
        <f aca="false">Forecast!C29</f>
        <v>7120180.89</v>
      </c>
      <c r="H67" s="15" t="n">
        <f aca="false">Forecast!D29</f>
        <v>12280980.2567</v>
      </c>
      <c r="I67" s="15" t="n">
        <f aca="false">Forecast!E29</f>
        <v>7446603.604401</v>
      </c>
    </row>
    <row r="68" customFormat="false" ht="15" hidden="false" customHeight="false" outlineLevel="0" collapsed="false">
      <c r="A68" s="14" t="s">
        <v>19</v>
      </c>
      <c r="B68" s="15" t="n">
        <f aca="false">Inputs!C24</f>
        <v>5272685</v>
      </c>
      <c r="C68" s="15" t="n">
        <f aca="false">Inputs!D24</f>
        <v>5841559</v>
      </c>
      <c r="D68" s="15" t="n">
        <f aca="false">Inputs!E24</f>
        <v>6256478</v>
      </c>
      <c r="E68" s="15" t="n">
        <f aca="false">Inputs!F24</f>
        <v>7774695</v>
      </c>
      <c r="F68" s="15" t="n">
        <f aca="false">Inputs!G24</f>
        <v>8074019</v>
      </c>
      <c r="G68" s="15" t="n">
        <f aca="false">Forecast!C31</f>
        <v>8558460.14</v>
      </c>
      <c r="H68" s="15" t="n">
        <f aca="false">Forecast!D31</f>
        <v>9071967.7484</v>
      </c>
      <c r="I68" s="15" t="n">
        <f aca="false">Forecast!E31</f>
        <v>9616285.813304</v>
      </c>
    </row>
    <row r="69" customFormat="false" ht="15" hidden="false" customHeight="false" outlineLevel="0" collapsed="false">
      <c r="A69" s="14" t="s">
        <v>20</v>
      </c>
      <c r="B69" s="16" t="n">
        <f aca="false">Historical!C38</f>
        <v>6.73273218483562</v>
      </c>
      <c r="C69" s="16" t="n">
        <f aca="false">Historical!D38</f>
        <v>15.0982612689523</v>
      </c>
      <c r="D69" s="16" t="n">
        <f aca="false">Historical!E38</f>
        <v>13.2742734810224</v>
      </c>
      <c r="E69" s="16" t="n">
        <f aca="false">Historical!F38</f>
        <v>9.57815837148596</v>
      </c>
      <c r="F69" s="16" t="n">
        <f aca="false">Historical!G38</f>
        <v>9.5070809221529</v>
      </c>
      <c r="G69" s="16" t="n">
        <f aca="false">Forecast!C41</f>
        <v>6.95230216962838</v>
      </c>
      <c r="H69" s="16" t="n">
        <f aca="false">Forecast!D41</f>
        <v>5.84318116749799</v>
      </c>
      <c r="I69" s="16" t="n">
        <f aca="false">Forecast!E41</f>
        <v>4.3647792305315</v>
      </c>
    </row>
    <row r="70" customFormat="false" ht="15" hidden="false" customHeight="false" outlineLevel="0" collapsed="false">
      <c r="A70" s="14" t="s">
        <v>21</v>
      </c>
      <c r="B70" s="16" t="n">
        <f aca="false">Inputs!$C$59</f>
        <v>3</v>
      </c>
      <c r="C70" s="16" t="n">
        <f aca="false">Inputs!$C$59</f>
        <v>3</v>
      </c>
      <c r="D70" s="16" t="n">
        <f aca="false">Inputs!$C$59</f>
        <v>3</v>
      </c>
      <c r="E70" s="16" t="n">
        <f aca="false">Inputs!$C$59</f>
        <v>3</v>
      </c>
      <c r="F70" s="16" t="n">
        <f aca="false">Inputs!$C$59</f>
        <v>3</v>
      </c>
      <c r="G70" s="16" t="n">
        <f aca="false">Inputs!$C$59</f>
        <v>3</v>
      </c>
      <c r="H70" s="16" t="n">
        <f aca="false">Inputs!$C$59</f>
        <v>3</v>
      </c>
      <c r="I70" s="16" t="n">
        <f aca="false">Inputs!$C$59</f>
        <v>3</v>
      </c>
    </row>
    <row r="71" customFormat="false" ht="15" hidden="false" customHeight="false" outlineLevel="0" collapsed="false">
      <c r="A71" s="14" t="s">
        <v>22</v>
      </c>
      <c r="B71" s="15" t="n">
        <f aca="false">Inputs!C13</f>
        <v>1632069</v>
      </c>
      <c r="C71" s="15" t="n">
        <f aca="false">Inputs!D13</f>
        <v>42688</v>
      </c>
      <c r="D71" s="15" t="n">
        <f aca="false">Inputs!E13</f>
        <v>163214</v>
      </c>
      <c r="E71" s="15" t="n">
        <f aca="false">Inputs!F13</f>
        <v>580383</v>
      </c>
      <c r="F71" s="15" t="n">
        <f aca="false">Inputs!G13</f>
        <v>989248</v>
      </c>
    </row>
    <row r="72" customFormat="false" ht="15" hidden="false" customHeight="false" outlineLevel="0" collapsed="false">
      <c r="A72" s="14" t="s">
        <v>23</v>
      </c>
      <c r="B72" s="15" t="n">
        <f aca="false">Inputs!C15</f>
        <v>2182750</v>
      </c>
      <c r="C72" s="15" t="n">
        <f aca="false">Inputs!D15</f>
        <v>8540130</v>
      </c>
      <c r="D72" s="15" t="n">
        <f aca="false">Inputs!E15</f>
        <v>10055705</v>
      </c>
      <c r="E72" s="15" t="n">
        <f aca="false">Inputs!F15</f>
        <v>6745098</v>
      </c>
      <c r="F72" s="15" t="n">
        <f aca="false">Inputs!G15</f>
        <v>5203863</v>
      </c>
    </row>
    <row r="73" customFormat="false" ht="15" hidden="false" customHeight="false" outlineLevel="0" collapsed="false">
      <c r="A73" s="14" t="s">
        <v>24</v>
      </c>
      <c r="B73" s="15" t="n">
        <f aca="false">Inputs!C16</f>
        <v>556500</v>
      </c>
      <c r="C73" s="15" t="n">
        <f aca="false">Inputs!D16</f>
        <v>698900</v>
      </c>
      <c r="D73" s="15" t="n">
        <f aca="false">Inputs!E16</f>
        <v>718500</v>
      </c>
      <c r="E73" s="15" t="n">
        <f aca="false">Inputs!F16</f>
        <v>655750</v>
      </c>
      <c r="F73" s="15" t="n">
        <f aca="false">Inputs!G16</f>
        <v>560000</v>
      </c>
    </row>
    <row r="74" customFormat="false" ht="15" hidden="false" customHeight="false" outlineLevel="0" collapsed="false">
      <c r="A74" s="14" t="s">
        <v>25</v>
      </c>
      <c r="B74" s="15" t="n">
        <f aca="false">Inputs!C18</f>
        <v>14795</v>
      </c>
      <c r="C74" s="15" t="n">
        <f aca="false">Inputs!D18</f>
        <v>-6959</v>
      </c>
      <c r="D74" s="15" t="n">
        <f aca="false">Inputs!E18</f>
        <v>155087</v>
      </c>
      <c r="E74" s="15" t="n">
        <f aca="false">Inputs!F18</f>
        <v>247695</v>
      </c>
      <c r="F74" s="15" t="n">
        <f aca="false">Inputs!G18</f>
        <v>210954</v>
      </c>
    </row>
    <row r="75" customFormat="false" ht="15" hidden="false" customHeight="false" outlineLevel="0" collapsed="false">
      <c r="A75" s="14" t="s">
        <v>26</v>
      </c>
      <c r="B75" s="15" t="n">
        <f aca="false">Inputs!C21</f>
        <v>4038909</v>
      </c>
      <c r="C75" s="15" t="n">
        <f aca="false">Inputs!D21</f>
        <v>4174201</v>
      </c>
      <c r="D75" s="15" t="n">
        <f aca="false">Inputs!E21</f>
        <v>4305748</v>
      </c>
      <c r="E75" s="15" t="n">
        <f aca="false">Inputs!F21</f>
        <v>5609813</v>
      </c>
      <c r="F75" s="15" t="n">
        <f aca="false">Inputs!G21</f>
        <v>5710185</v>
      </c>
    </row>
    <row r="76" customFormat="false" ht="15" hidden="false" customHeight="false" outlineLevel="0" collapsed="false">
      <c r="A76" s="14" t="s">
        <v>27</v>
      </c>
      <c r="B76" s="15" t="n">
        <f aca="false">Inputs!C22</f>
        <v>553847</v>
      </c>
      <c r="C76" s="15" t="n">
        <f aca="false">Inputs!D22</f>
        <v>712251</v>
      </c>
      <c r="D76" s="15" t="n">
        <f aca="false">Inputs!E22</f>
        <v>907414</v>
      </c>
      <c r="E76" s="15" t="n">
        <f aca="false">Inputs!F22</f>
        <v>819140</v>
      </c>
      <c r="F76" s="15" t="n">
        <f aca="false">Inputs!G22</f>
        <v>1027814</v>
      </c>
    </row>
    <row r="77" customFormat="false" ht="15" hidden="false" customHeight="false" outlineLevel="0" collapsed="false">
      <c r="A77" s="14" t="s">
        <v>28</v>
      </c>
      <c r="B77" s="15" t="n">
        <f aca="false">Inputs!C23</f>
        <v>679929</v>
      </c>
      <c r="C77" s="15" t="n">
        <f aca="false">Inputs!D23</f>
        <v>955107</v>
      </c>
      <c r="D77" s="15" t="n">
        <f aca="false">Inputs!E23</f>
        <v>1043316</v>
      </c>
      <c r="E77" s="15" t="n">
        <f aca="false">Inputs!F23</f>
        <v>1345742</v>
      </c>
      <c r="F77" s="15" t="n">
        <f aca="false">Inputs!G23</f>
        <v>1336020</v>
      </c>
    </row>
    <row r="79" customFormat="false" ht="15" hidden="false" customHeight="false" outlineLevel="0" collapsed="false">
      <c r="A79" s="12" t="s">
        <v>29</v>
      </c>
      <c r="B79" s="12" t="s">
        <v>30</v>
      </c>
      <c r="C79" s="12" t="s">
        <v>31</v>
      </c>
    </row>
    <row r="80" customFormat="false" ht="15" hidden="false" customHeight="false" outlineLevel="0" collapsed="false">
      <c r="A80" s="14" t="str">
        <f aca="false">Scenarios!C9</f>
        <v>Base</v>
      </c>
      <c r="B80" s="16" t="n">
        <f aca="false">Scenarios!C29</f>
        <v>4.3647792305315</v>
      </c>
      <c r="C80" s="15" t="n">
        <f aca="false">Scenarios!C28</f>
        <v>3497747.049397</v>
      </c>
    </row>
    <row r="81" customFormat="false" ht="15" hidden="false" customHeight="false" outlineLevel="0" collapsed="false">
      <c r="A81" s="14" t="str">
        <f aca="false">Scenarios!D9</f>
        <v>No major gift</v>
      </c>
      <c r="B81" s="16" t="n">
        <f aca="false">Scenarios!D29</f>
        <v>1.24507162382794</v>
      </c>
      <c r="C81" s="15" t="n">
        <f aca="false">Scenarios!D28</f>
        <v>997747.049396997</v>
      </c>
    </row>
    <row r="82" customFormat="false" ht="15" hidden="false" customHeight="false" outlineLevel="0" collapsed="false">
      <c r="A82" s="14" t="str">
        <f aca="false">Scenarios!E9</f>
        <v>Government cut</v>
      </c>
      <c r="B82" s="16" t="n">
        <f aca="false">Scenarios!E29</f>
        <v>2.51308052422173</v>
      </c>
      <c r="C82" s="15" t="n">
        <f aca="false">Scenarios!E28</f>
        <v>2013875.049397</v>
      </c>
    </row>
    <row r="83" customFormat="false" ht="15" hidden="false" customHeight="false" outlineLevel="0" collapsed="false">
      <c r="A83" s="14" t="str">
        <f aca="false">Scenarios!F9</f>
        <v>Cost discipline</v>
      </c>
      <c r="B83" s="16" t="n">
        <f aca="false">Scenarios!F29</f>
        <v>6.85476784231625</v>
      </c>
      <c r="C83" s="15" t="n">
        <f aca="false">Scenarios!F28</f>
        <v>5039795.864188</v>
      </c>
    </row>
    <row r="84" customFormat="false" ht="15" hidden="false" customHeight="false" outlineLevel="0" collapsed="false">
      <c r="A84" s="14" t="str">
        <f aca="false">Scenarios!G9</f>
        <v>Combined shock</v>
      </c>
      <c r="B84" s="16" t="n">
        <f aca="false">Scenarios!G29</f>
        <v>-0.606627082481832</v>
      </c>
      <c r="C84" s="15" t="n">
        <f aca="false">Scenarios!G28</f>
        <v>-486124.950603003</v>
      </c>
    </row>
  </sheetData>
  <mergeCells count="18">
    <mergeCell ref="B4:C4"/>
    <mergeCell ref="D4:E4"/>
    <mergeCell ref="F4:G4"/>
    <mergeCell ref="H4:I4"/>
    <mergeCell ref="J4:K4"/>
    <mergeCell ref="L4:M4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L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  <col collapsed="false" customWidth="true" hidden="false" outlineLevel="0" max="8" min="8" style="0" width="11"/>
    <col collapsed="false" customWidth="true" hidden="false" outlineLevel="0" max="9" min="9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32</v>
      </c>
    </row>
    <row r="4" customFormat="false" ht="15" hidden="false" customHeight="false" outlineLevel="0" collapsed="false">
      <c r="A4" s="12" t="s">
        <v>33</v>
      </c>
    </row>
    <row r="5" customFormat="false" ht="15" hidden="false" customHeight="false" outlineLevel="0" collapsed="false">
      <c r="A5" s="17" t="s">
        <v>34</v>
      </c>
      <c r="B5" s="14" t="s">
        <v>35</v>
      </c>
    </row>
    <row r="6" customFormat="false" ht="15" hidden="false" customHeight="false" outlineLevel="0" collapsed="false">
      <c r="A6" s="18"/>
      <c r="B6" s="14" t="s">
        <v>36</v>
      </c>
    </row>
    <row r="7" customFormat="false" ht="15" hidden="false" customHeight="false" outlineLevel="0" collapsed="false">
      <c r="A7" s="19" t="s">
        <v>34</v>
      </c>
      <c r="B7" s="14" t="s">
        <v>37</v>
      </c>
    </row>
    <row r="8" customFormat="false" ht="15" hidden="false" customHeight="false" outlineLevel="0" collapsed="false">
      <c r="A8" s="12" t="s">
        <v>38</v>
      </c>
      <c r="C8" s="20" t="n">
        <f aca="false">COUNTBLANK(C13:G13)+COUNTBLANK(C21:G23)+COUNTBLANK(C25:G25)+COUNTBLANK(C30:G33)+COUNTBLANK(C36:G37)+COUNTBLANK(C43:G43)</f>
        <v>0</v>
      </c>
    </row>
    <row r="10" customFormat="false" ht="15" hidden="false" customHeight="false" outlineLevel="0" collapsed="false">
      <c r="A10" s="10" t="s">
        <v>39</v>
      </c>
      <c r="B10" s="11"/>
      <c r="C10" s="11"/>
      <c r="D10" s="11"/>
      <c r="E10" s="11"/>
      <c r="F10" s="11"/>
      <c r="G10" s="11"/>
      <c r="H10" s="11"/>
      <c r="I10" s="11"/>
    </row>
    <row r="11" customFormat="false" ht="15" hidden="false" customHeight="false" outlineLevel="0" collapsed="false">
      <c r="A11" s="21" t="s">
        <v>40</v>
      </c>
      <c r="B11" s="22" t="s">
        <v>41</v>
      </c>
      <c r="C11" s="22" t="s">
        <v>10</v>
      </c>
      <c r="D11" s="22" t="s">
        <v>11</v>
      </c>
      <c r="E11" s="22" t="s">
        <v>12</v>
      </c>
      <c r="F11" s="22" t="s">
        <v>13</v>
      </c>
      <c r="G11" s="22" t="s">
        <v>14</v>
      </c>
      <c r="H11" s="22" t="s">
        <v>42</v>
      </c>
      <c r="I11" s="21" t="s">
        <v>43</v>
      </c>
    </row>
    <row r="12" customFormat="false" ht="15" hidden="false" customHeight="false" outlineLevel="0" collapsed="false">
      <c r="A12" s="23" t="s">
        <v>44</v>
      </c>
      <c r="B12" s="24"/>
      <c r="C12" s="24"/>
      <c r="D12" s="24"/>
      <c r="E12" s="24"/>
      <c r="F12" s="24"/>
      <c r="G12" s="24"/>
      <c r="H12" s="24"/>
      <c r="I12" s="24"/>
    </row>
    <row r="13" customFormat="false" ht="15" hidden="false" customHeight="false" outlineLevel="0" collapsed="false">
      <c r="A13" s="14" t="s">
        <v>22</v>
      </c>
      <c r="B13" s="19" t="s">
        <v>45</v>
      </c>
      <c r="C13" s="25" t="n">
        <v>1632069</v>
      </c>
      <c r="D13" s="25" t="n">
        <v>42688</v>
      </c>
      <c r="E13" s="25" t="n">
        <v>163214</v>
      </c>
      <c r="F13" s="25" t="n">
        <v>580383</v>
      </c>
      <c r="G13" s="25" t="n">
        <v>989248</v>
      </c>
      <c r="H13" s="19" t="s">
        <v>46</v>
      </c>
      <c r="I13" s="26" t="s">
        <v>47</v>
      </c>
    </row>
    <row r="14" customFormat="false" ht="15" hidden="false" customHeight="false" outlineLevel="0" collapsed="false">
      <c r="A14" s="14" t="s">
        <v>48</v>
      </c>
      <c r="B14" s="19" t="s">
        <v>49</v>
      </c>
      <c r="C14" s="25" t="n">
        <v>3814819</v>
      </c>
      <c r="D14" s="25" t="n">
        <v>8582818</v>
      </c>
      <c r="E14" s="25" t="n">
        <v>10218919</v>
      </c>
      <c r="F14" s="25" t="n">
        <v>7325481</v>
      </c>
      <c r="G14" s="25" t="n">
        <v>6193111</v>
      </c>
      <c r="H14" s="19" t="s">
        <v>46</v>
      </c>
      <c r="I14" s="2" t="s">
        <v>50</v>
      </c>
    </row>
    <row r="15" customFormat="false" ht="15" hidden="false" customHeight="false" outlineLevel="0" collapsed="false">
      <c r="A15" s="14" t="s">
        <v>51</v>
      </c>
      <c r="B15" s="19" t="s">
        <v>52</v>
      </c>
      <c r="C15" s="27" t="n">
        <f aca="false">IF(C13="","Pending",C14-C13)</f>
        <v>2182750</v>
      </c>
      <c r="D15" s="27" t="n">
        <f aca="false">IF(D13="","Pending",D14-D13)</f>
        <v>8540130</v>
      </c>
      <c r="E15" s="27" t="n">
        <f aca="false">IF(E13="","Pending",E14-E13)</f>
        <v>10055705</v>
      </c>
      <c r="F15" s="27" t="n">
        <f aca="false">IF(F13="","Pending",F14-F13)</f>
        <v>6745098</v>
      </c>
      <c r="G15" s="27" t="n">
        <f aca="false">IF(G13="","Pending",G14-G13)</f>
        <v>5203863</v>
      </c>
      <c r="H15" s="19" t="s">
        <v>53</v>
      </c>
      <c r="I15" s="2" t="s">
        <v>54</v>
      </c>
    </row>
    <row r="16" customFormat="false" ht="15" hidden="false" customHeight="false" outlineLevel="0" collapsed="false">
      <c r="A16" s="14" t="s">
        <v>24</v>
      </c>
      <c r="B16" s="19" t="s">
        <v>55</v>
      </c>
      <c r="C16" s="25" t="n">
        <v>556500</v>
      </c>
      <c r="D16" s="25" t="n">
        <v>698900</v>
      </c>
      <c r="E16" s="25" t="n">
        <v>718500</v>
      </c>
      <c r="F16" s="25" t="n">
        <v>655750</v>
      </c>
      <c r="G16" s="25" t="n">
        <v>560000</v>
      </c>
      <c r="H16" s="19" t="s">
        <v>46</v>
      </c>
      <c r="I16" s="2" t="s">
        <v>56</v>
      </c>
    </row>
    <row r="17" customFormat="false" ht="15" hidden="false" customHeight="false" outlineLevel="0" collapsed="false">
      <c r="A17" s="12" t="s">
        <v>18</v>
      </c>
      <c r="B17" s="19" t="s">
        <v>57</v>
      </c>
      <c r="C17" s="25" t="n">
        <v>4386114</v>
      </c>
      <c r="D17" s="25" t="n">
        <v>9274759</v>
      </c>
      <c r="E17" s="25" t="n">
        <v>11092506</v>
      </c>
      <c r="F17" s="25" t="n">
        <v>8228926</v>
      </c>
      <c r="G17" s="25" t="n">
        <v>6964065</v>
      </c>
      <c r="H17" s="19" t="s">
        <v>46</v>
      </c>
      <c r="I17" s="2" t="s">
        <v>50</v>
      </c>
    </row>
    <row r="18" customFormat="false" ht="15" hidden="false" customHeight="false" outlineLevel="0" collapsed="false">
      <c r="A18" s="14" t="s">
        <v>58</v>
      </c>
      <c r="B18" s="19" t="s">
        <v>59</v>
      </c>
      <c r="C18" s="27" t="n">
        <f aca="false">C17-C14-C16</f>
        <v>14795</v>
      </c>
      <c r="D18" s="27" t="n">
        <f aca="false">D17-D14-D16</f>
        <v>-6959</v>
      </c>
      <c r="E18" s="27" t="n">
        <f aca="false">E17-E14-E16</f>
        <v>155087</v>
      </c>
      <c r="F18" s="27" t="n">
        <f aca="false">F17-F14-F16</f>
        <v>247695</v>
      </c>
      <c r="G18" s="27" t="n">
        <f aca="false">G17-G14-G16</f>
        <v>210954</v>
      </c>
      <c r="H18" s="19" t="s">
        <v>53</v>
      </c>
      <c r="I18" s="2" t="s">
        <v>60</v>
      </c>
    </row>
    <row r="20" customFormat="false" ht="15" hidden="false" customHeight="false" outlineLevel="0" collapsed="false">
      <c r="A20" s="23" t="s">
        <v>61</v>
      </c>
      <c r="B20" s="24"/>
      <c r="C20" s="24"/>
      <c r="D20" s="24"/>
      <c r="E20" s="24"/>
      <c r="F20" s="24"/>
      <c r="G20" s="24"/>
      <c r="H20" s="24"/>
      <c r="I20" s="24"/>
    </row>
    <row r="21" customFormat="false" ht="15" hidden="false" customHeight="false" outlineLevel="0" collapsed="false">
      <c r="A21" s="14" t="s">
        <v>26</v>
      </c>
      <c r="B21" s="19" t="s">
        <v>62</v>
      </c>
      <c r="C21" s="25" t="n">
        <v>4038909</v>
      </c>
      <c r="D21" s="25" t="n">
        <v>4174201</v>
      </c>
      <c r="E21" s="25" t="n">
        <v>4305748</v>
      </c>
      <c r="F21" s="25" t="n">
        <v>5609813</v>
      </c>
      <c r="G21" s="25" t="n">
        <v>5710185</v>
      </c>
      <c r="H21" s="19" t="s">
        <v>46</v>
      </c>
      <c r="I21" s="26" t="s">
        <v>63</v>
      </c>
    </row>
    <row r="22" customFormat="false" ht="15" hidden="false" customHeight="false" outlineLevel="0" collapsed="false">
      <c r="A22" s="14" t="s">
        <v>27</v>
      </c>
      <c r="B22" s="19" t="s">
        <v>64</v>
      </c>
      <c r="C22" s="25" t="n">
        <v>553847</v>
      </c>
      <c r="D22" s="25" t="n">
        <v>712251</v>
      </c>
      <c r="E22" s="25" t="n">
        <v>907414</v>
      </c>
      <c r="F22" s="25" t="n">
        <v>819140</v>
      </c>
      <c r="G22" s="25" t="n">
        <v>1027814</v>
      </c>
      <c r="H22" s="19" t="s">
        <v>46</v>
      </c>
      <c r="I22" s="26" t="s">
        <v>65</v>
      </c>
    </row>
    <row r="23" customFormat="false" ht="15" hidden="false" customHeight="false" outlineLevel="0" collapsed="false">
      <c r="A23" s="14" t="s">
        <v>28</v>
      </c>
      <c r="B23" s="19" t="s">
        <v>66</v>
      </c>
      <c r="C23" s="25" t="n">
        <v>679929</v>
      </c>
      <c r="D23" s="25" t="n">
        <v>955107</v>
      </c>
      <c r="E23" s="25" t="n">
        <v>1043316</v>
      </c>
      <c r="F23" s="25" t="n">
        <v>1345742</v>
      </c>
      <c r="G23" s="25" t="n">
        <v>1336020</v>
      </c>
      <c r="H23" s="19" t="s">
        <v>46</v>
      </c>
      <c r="I23" s="26" t="s">
        <v>67</v>
      </c>
    </row>
    <row r="24" customFormat="false" ht="15" hidden="false" customHeight="false" outlineLevel="0" collapsed="false">
      <c r="A24" s="12" t="s">
        <v>19</v>
      </c>
      <c r="B24" s="19" t="s">
        <v>68</v>
      </c>
      <c r="C24" s="25" t="n">
        <v>5272685</v>
      </c>
      <c r="D24" s="25" t="n">
        <v>5841559</v>
      </c>
      <c r="E24" s="25" t="n">
        <v>6256478</v>
      </c>
      <c r="F24" s="25" t="n">
        <v>7774695</v>
      </c>
      <c r="G24" s="25" t="n">
        <v>8074019</v>
      </c>
      <c r="H24" s="19" t="s">
        <v>46</v>
      </c>
      <c r="I24" s="2" t="s">
        <v>50</v>
      </c>
    </row>
    <row r="25" customFormat="false" ht="15" hidden="false" customHeight="false" outlineLevel="0" collapsed="false">
      <c r="A25" s="14" t="s">
        <v>69</v>
      </c>
      <c r="B25" s="19" t="s">
        <v>70</v>
      </c>
      <c r="C25" s="25" t="n">
        <v>4738906</v>
      </c>
      <c r="D25" s="25" t="n">
        <v>5009910</v>
      </c>
      <c r="E25" s="25" t="n">
        <v>5134981</v>
      </c>
      <c r="F25" s="25" t="n">
        <v>6449042</v>
      </c>
      <c r="G25" s="25" t="n">
        <v>6775145</v>
      </c>
      <c r="H25" s="19" t="s">
        <v>46</v>
      </c>
      <c r="I25" s="2" t="s">
        <v>71</v>
      </c>
    </row>
    <row r="26" customFormat="false" ht="15" hidden="false" customHeight="false" outlineLevel="0" collapsed="false">
      <c r="A26" s="12" t="s">
        <v>72</v>
      </c>
      <c r="B26" s="19"/>
      <c r="C26" s="28" t="n">
        <f aca="false">C17-C24</f>
        <v>-886571</v>
      </c>
      <c r="D26" s="28" t="n">
        <f aca="false">D17-D24</f>
        <v>3433200</v>
      </c>
      <c r="E26" s="28" t="n">
        <f aca="false">E17-E24</f>
        <v>4836028</v>
      </c>
      <c r="F26" s="28" t="n">
        <f aca="false">F17-F24</f>
        <v>454231</v>
      </c>
      <c r="G26" s="28" t="n">
        <f aca="false">G17-G24</f>
        <v>-1109954</v>
      </c>
      <c r="H26" s="19" t="s">
        <v>53</v>
      </c>
      <c r="I26" s="2" t="s">
        <v>73</v>
      </c>
    </row>
    <row r="27" customFormat="false" ht="15" hidden="false" customHeight="false" outlineLevel="0" collapsed="false">
      <c r="A27" s="14" t="s">
        <v>74</v>
      </c>
      <c r="B27" s="19"/>
      <c r="C27" s="29" t="str">
        <f aca="false">IF(COUNT(C21:C23)&lt;3,"Pending",IF(ABS(SUM(C21:C23)-C24)&lt;=1,"OK","CHECK"))</f>
        <v>OK</v>
      </c>
      <c r="D27" s="29" t="str">
        <f aca="false">IF(COUNT(D21:D23)&lt;3,"Pending",IF(ABS(SUM(D21:D23)-D24)&lt;=1,"OK","CHECK"))</f>
        <v>OK</v>
      </c>
      <c r="E27" s="29" t="str">
        <f aca="false">IF(COUNT(E21:E23)&lt;3,"Pending",IF(ABS(SUM(E21:E23)-E24)&lt;=1,"OK","CHECK"))</f>
        <v>OK</v>
      </c>
      <c r="F27" s="29" t="str">
        <f aca="false">IF(COUNT(F21:F23)&lt;3,"Pending",IF(ABS(SUM(F21:F23)-F24)&lt;=1,"OK","CHECK"))</f>
        <v>OK</v>
      </c>
      <c r="G27" s="29" t="str">
        <f aca="false">IF(COUNT(G21:G23)&lt;3,"Pending",IF(ABS(SUM(G21:G23)-G24)&lt;=1,"OK","CHECK"))</f>
        <v>OK</v>
      </c>
      <c r="H27" s="19" t="s">
        <v>75</v>
      </c>
      <c r="I27" s="2"/>
    </row>
    <row r="29" customFormat="false" ht="15" hidden="false" customHeight="false" outlineLevel="0" collapsed="false">
      <c r="A29" s="23" t="s">
        <v>76</v>
      </c>
      <c r="B29" s="24"/>
      <c r="C29" s="24"/>
      <c r="D29" s="24"/>
      <c r="E29" s="24"/>
      <c r="F29" s="24"/>
      <c r="G29" s="24"/>
      <c r="H29" s="24"/>
      <c r="I29" s="24"/>
    </row>
    <row r="30" customFormat="false" ht="15" hidden="false" customHeight="false" outlineLevel="0" collapsed="false">
      <c r="A30" s="14" t="s">
        <v>77</v>
      </c>
      <c r="B30" s="19" t="s">
        <v>78</v>
      </c>
      <c r="C30" s="25" t="n">
        <v>470094</v>
      </c>
      <c r="D30" s="25" t="n">
        <v>759876</v>
      </c>
      <c r="E30" s="25" t="n">
        <v>1277540</v>
      </c>
      <c r="F30" s="25" t="n">
        <v>1494209</v>
      </c>
      <c r="G30" s="25" t="n">
        <v>1481238</v>
      </c>
      <c r="H30" s="19" t="s">
        <v>46</v>
      </c>
      <c r="I30" s="2" t="s">
        <v>79</v>
      </c>
    </row>
    <row r="31" customFormat="false" ht="15" hidden="false" customHeight="false" outlineLevel="0" collapsed="false">
      <c r="A31" s="14" t="s">
        <v>80</v>
      </c>
      <c r="B31" s="19" t="s">
        <v>81</v>
      </c>
      <c r="C31" s="25" t="n">
        <v>799577</v>
      </c>
      <c r="D31" s="25" t="n">
        <v>1130215</v>
      </c>
      <c r="E31" s="25" t="n">
        <v>1121973</v>
      </c>
      <c r="F31" s="25" t="n">
        <v>0</v>
      </c>
      <c r="G31" s="25" t="n">
        <v>0</v>
      </c>
      <c r="H31" s="19" t="s">
        <v>46</v>
      </c>
      <c r="I31" s="2" t="s">
        <v>82</v>
      </c>
    </row>
    <row r="32" customFormat="false" ht="15" hidden="false" customHeight="false" outlineLevel="0" collapsed="false">
      <c r="A32" s="14" t="s">
        <v>83</v>
      </c>
      <c r="B32" s="19" t="s">
        <v>84</v>
      </c>
      <c r="C32" s="25" t="n">
        <v>1076282</v>
      </c>
      <c r="D32" s="25" t="n">
        <v>1994297</v>
      </c>
      <c r="E32" s="25" t="n">
        <v>7058262</v>
      </c>
      <c r="F32" s="25" t="n">
        <v>7160474</v>
      </c>
      <c r="G32" s="25" t="n">
        <v>6404033</v>
      </c>
      <c r="H32" s="19" t="s">
        <v>46</v>
      </c>
      <c r="I32" s="2" t="s">
        <v>85</v>
      </c>
    </row>
    <row r="33" customFormat="false" ht="15" hidden="false" customHeight="false" outlineLevel="0" collapsed="false">
      <c r="A33" s="14" t="s">
        <v>86</v>
      </c>
      <c r="B33" s="19" t="s">
        <v>87</v>
      </c>
      <c r="C33" s="25" t="n">
        <v>2894236</v>
      </c>
      <c r="D33" s="25" t="n">
        <v>4807268</v>
      </c>
      <c r="E33" s="25" t="n">
        <v>3737202</v>
      </c>
      <c r="F33" s="25" t="n">
        <v>5367903</v>
      </c>
      <c r="G33" s="25" t="n">
        <v>5230613</v>
      </c>
      <c r="H33" s="19" t="s">
        <v>46</v>
      </c>
      <c r="I33" s="2" t="s">
        <v>79</v>
      </c>
    </row>
    <row r="34" customFormat="false" ht="15" hidden="false" customHeight="false" outlineLevel="0" collapsed="false">
      <c r="A34" s="14" t="s">
        <v>88</v>
      </c>
      <c r="B34" s="19" t="s">
        <v>89</v>
      </c>
      <c r="C34" s="25" t="n">
        <v>5445597</v>
      </c>
      <c r="D34" s="25" t="n">
        <v>8973055</v>
      </c>
      <c r="E34" s="25" t="n">
        <v>14055139</v>
      </c>
      <c r="F34" s="25" t="n">
        <v>14939265</v>
      </c>
      <c r="G34" s="25" t="n">
        <v>13761145</v>
      </c>
      <c r="H34" s="19" t="s">
        <v>46</v>
      </c>
      <c r="I34" s="2" t="s">
        <v>50</v>
      </c>
    </row>
    <row r="35" customFormat="false" ht="15" hidden="false" customHeight="false" outlineLevel="0" collapsed="false">
      <c r="A35" s="14" t="s">
        <v>90</v>
      </c>
      <c r="B35" s="19" t="s">
        <v>91</v>
      </c>
      <c r="C35" s="25" t="n">
        <v>285627</v>
      </c>
      <c r="D35" s="25" t="n">
        <v>386191</v>
      </c>
      <c r="E35" s="25" t="n">
        <v>610489</v>
      </c>
      <c r="F35" s="25" t="n">
        <v>1009432</v>
      </c>
      <c r="G35" s="25" t="n">
        <v>861696</v>
      </c>
      <c r="H35" s="19" t="s">
        <v>46</v>
      </c>
      <c r="I35" s="2" t="s">
        <v>50</v>
      </c>
    </row>
    <row r="36" customFormat="false" ht="15" hidden="false" customHeight="false" outlineLevel="0" collapsed="false">
      <c r="A36" s="14" t="s">
        <v>92</v>
      </c>
      <c r="B36" s="19" t="s">
        <v>93</v>
      </c>
      <c r="C36" s="25" t="n">
        <v>2958298</v>
      </c>
      <c r="D36" s="25" t="n">
        <v>7349782</v>
      </c>
      <c r="E36" s="25" t="n">
        <v>6920850</v>
      </c>
      <c r="F36" s="25" t="n">
        <v>6205605</v>
      </c>
      <c r="G36" s="25" t="n">
        <v>6396696</v>
      </c>
      <c r="H36" s="19" t="s">
        <v>46</v>
      </c>
      <c r="I36" s="26" t="s">
        <v>94</v>
      </c>
    </row>
    <row r="37" customFormat="false" ht="15" hidden="false" customHeight="false" outlineLevel="0" collapsed="false">
      <c r="A37" s="14" t="s">
        <v>95</v>
      </c>
      <c r="B37" s="19" t="s">
        <v>96</v>
      </c>
      <c r="C37" s="25" t="n">
        <v>2201672</v>
      </c>
      <c r="D37" s="25" t="n">
        <v>1237082</v>
      </c>
      <c r="E37" s="25" t="n">
        <v>6523800</v>
      </c>
      <c r="F37" s="25" t="n">
        <v>7724228</v>
      </c>
      <c r="G37" s="25" t="n">
        <v>6502753</v>
      </c>
      <c r="H37" s="19" t="s">
        <v>46</v>
      </c>
      <c r="I37" s="26" t="s">
        <v>97</v>
      </c>
    </row>
    <row r="38" customFormat="false" ht="15" hidden="false" customHeight="false" outlineLevel="0" collapsed="false">
      <c r="A38" s="12" t="s">
        <v>98</v>
      </c>
      <c r="B38" s="19" t="s">
        <v>99</v>
      </c>
      <c r="C38" s="25" t="n">
        <v>5159970</v>
      </c>
      <c r="D38" s="25" t="n">
        <v>8586864</v>
      </c>
      <c r="E38" s="25" t="n">
        <v>13444650</v>
      </c>
      <c r="F38" s="25" t="n">
        <v>13929833</v>
      </c>
      <c r="G38" s="25" t="n">
        <v>12899449</v>
      </c>
      <c r="H38" s="19" t="s">
        <v>46</v>
      </c>
      <c r="I38" s="2" t="s">
        <v>50</v>
      </c>
    </row>
    <row r="39" customFormat="false" ht="15" hidden="false" customHeight="false" outlineLevel="0" collapsed="false">
      <c r="A39" s="14" t="s">
        <v>100</v>
      </c>
      <c r="B39" s="19"/>
      <c r="C39" s="29" t="str">
        <f aca="false">IF(ABS(C34-C35-C38)&lt;=1,"OK","CHECK")</f>
        <v>OK</v>
      </c>
      <c r="D39" s="29" t="str">
        <f aca="false">IF(ABS(D34-D35-D38)&lt;=1,"OK","CHECK")</f>
        <v>OK</v>
      </c>
      <c r="E39" s="29" t="str">
        <f aca="false">IF(ABS(E34-E35-E38)&lt;=1,"OK","CHECK")</f>
        <v>OK</v>
      </c>
      <c r="F39" s="29" t="str">
        <f aca="false">IF(ABS(F34-F35-F38)&lt;=1,"OK","CHECK")</f>
        <v>OK</v>
      </c>
      <c r="G39" s="29" t="str">
        <f aca="false">IF(ABS(G34-G35-G38)&lt;=1,"OK","CHECK")</f>
        <v>OK</v>
      </c>
      <c r="H39" s="19" t="s">
        <v>75</v>
      </c>
      <c r="I39" s="2"/>
    </row>
    <row r="40" customFormat="false" ht="15" hidden="false" customHeight="false" outlineLevel="0" collapsed="false">
      <c r="A40" s="14" t="s">
        <v>101</v>
      </c>
      <c r="B40" s="19"/>
      <c r="C40" s="29" t="str">
        <f aca="false">IF(COUNT(C36:C37)&lt;2,"Pending",IF(ABS(C36+C37-C38)&lt;=1,"OK","CHECK"))</f>
        <v>OK</v>
      </c>
      <c r="D40" s="29" t="str">
        <f aca="false">IF(COUNT(D36:D37)&lt;2,"Pending",IF(ABS(D36+D37-D38)&lt;=1,"OK","CHECK"))</f>
        <v>OK</v>
      </c>
      <c r="E40" s="29" t="str">
        <f aca="false">IF(COUNT(E36:E37)&lt;2,"Pending",IF(ABS(E36+E37-E38)&lt;=1,"OK","CHECK"))</f>
        <v>OK</v>
      </c>
      <c r="F40" s="29" t="str">
        <f aca="false">IF(COUNT(F36:F37)&lt;2,"Pending",IF(ABS(F36+F37-F38)&lt;=1,"OK","CHECK"))</f>
        <v>OK</v>
      </c>
      <c r="G40" s="29" t="str">
        <f aca="false">IF(COUNT(G36:G37)&lt;2,"Pending",IF(ABS(G36+G37-G38)&lt;=1,"OK","CHECK"))</f>
        <v>OK</v>
      </c>
      <c r="H40" s="19" t="s">
        <v>75</v>
      </c>
      <c r="I40" s="2"/>
    </row>
    <row r="42" customFormat="false" ht="15" hidden="false" customHeight="false" outlineLevel="0" collapsed="false">
      <c r="A42" s="23" t="s">
        <v>102</v>
      </c>
      <c r="B42" s="24"/>
      <c r="C42" s="24"/>
      <c r="D42" s="24"/>
      <c r="E42" s="24"/>
      <c r="F42" s="24"/>
      <c r="G42" s="24"/>
      <c r="H42" s="24"/>
      <c r="I42" s="24"/>
    </row>
    <row r="43" customFormat="false" ht="15" hidden="false" customHeight="false" outlineLevel="0" collapsed="false">
      <c r="A43" s="14" t="s">
        <v>103</v>
      </c>
      <c r="B43" s="19" t="s">
        <v>104</v>
      </c>
      <c r="C43" s="30" t="n">
        <v>68</v>
      </c>
      <c r="D43" s="30" t="n">
        <v>70</v>
      </c>
      <c r="E43" s="30" t="n">
        <v>78</v>
      </c>
      <c r="F43" s="30" t="n">
        <v>86</v>
      </c>
      <c r="G43" s="30" t="n">
        <v>102</v>
      </c>
      <c r="H43" s="19" t="s">
        <v>46</v>
      </c>
      <c r="I43" s="2" t="s">
        <v>105</v>
      </c>
    </row>
    <row r="45" customFormat="false" ht="15" hidden="false" customHeight="false" outlineLevel="0" collapsed="false">
      <c r="A45" s="10" t="s">
        <v>106</v>
      </c>
      <c r="B45" s="11"/>
      <c r="C45" s="11"/>
      <c r="D45" s="11"/>
      <c r="E45" s="11"/>
      <c r="F45" s="11"/>
      <c r="G45" s="11"/>
      <c r="H45" s="11"/>
      <c r="I45" s="11"/>
    </row>
    <row r="46" customFormat="false" ht="15" hidden="false" customHeight="false" outlineLevel="0" collapsed="false">
      <c r="A46" s="31" t="s">
        <v>107</v>
      </c>
      <c r="B46" s="31" t="s">
        <v>108</v>
      </c>
      <c r="C46" s="31" t="s">
        <v>109</v>
      </c>
      <c r="D46" s="31" t="s">
        <v>42</v>
      </c>
      <c r="E46" s="31" t="s">
        <v>110</v>
      </c>
      <c r="F46" s="32"/>
      <c r="G46" s="32"/>
      <c r="H46" s="32"/>
      <c r="I46" s="32"/>
    </row>
    <row r="47" customFormat="false" ht="27.75" hidden="false" customHeight="true" outlineLevel="0" collapsed="false">
      <c r="A47" s="14" t="s">
        <v>111</v>
      </c>
      <c r="B47" s="2" t="s">
        <v>112</v>
      </c>
      <c r="C47" s="33" t="n">
        <f aca="false">G14-G13</f>
        <v>5203863</v>
      </c>
      <c r="D47" s="19" t="s">
        <v>113</v>
      </c>
      <c r="E47" s="34" t="s">
        <v>114</v>
      </c>
      <c r="F47" s="34"/>
      <c r="G47" s="34"/>
      <c r="H47" s="34"/>
      <c r="I47" s="34"/>
    </row>
    <row r="48" customFormat="false" ht="27.75" hidden="false" customHeight="true" outlineLevel="0" collapsed="false">
      <c r="A48" s="14" t="s">
        <v>115</v>
      </c>
      <c r="B48" s="2" t="s">
        <v>116</v>
      </c>
      <c r="C48" s="35" t="n">
        <v>0.03</v>
      </c>
      <c r="D48" s="19" t="s">
        <v>113</v>
      </c>
      <c r="E48" s="34" t="s">
        <v>117</v>
      </c>
      <c r="F48" s="34"/>
      <c r="G48" s="34"/>
      <c r="H48" s="34"/>
      <c r="I48" s="34"/>
    </row>
    <row r="49" customFormat="false" ht="27.75" hidden="false" customHeight="true" outlineLevel="0" collapsed="false">
      <c r="A49" s="14" t="s">
        <v>118</v>
      </c>
      <c r="B49" s="2" t="s">
        <v>112</v>
      </c>
      <c r="C49" s="33" t="n">
        <f aca="false">G13</f>
        <v>989248</v>
      </c>
      <c r="D49" s="19" t="s">
        <v>113</v>
      </c>
      <c r="E49" s="34" t="s">
        <v>119</v>
      </c>
      <c r="F49" s="34"/>
      <c r="G49" s="34"/>
      <c r="H49" s="34"/>
      <c r="I49" s="34"/>
    </row>
    <row r="50" customFormat="false" ht="27.75" hidden="false" customHeight="true" outlineLevel="0" collapsed="false">
      <c r="A50" s="14" t="s">
        <v>120</v>
      </c>
      <c r="B50" s="2" t="s">
        <v>116</v>
      </c>
      <c r="C50" s="35" t="n">
        <v>0</v>
      </c>
      <c r="D50" s="19" t="s">
        <v>113</v>
      </c>
      <c r="E50" s="34" t="s">
        <v>121</v>
      </c>
      <c r="F50" s="34"/>
      <c r="G50" s="34"/>
      <c r="H50" s="34"/>
      <c r="I50" s="34"/>
    </row>
    <row r="51" customFormat="false" ht="27.75" hidden="false" customHeight="true" outlineLevel="0" collapsed="false">
      <c r="A51" s="14" t="s">
        <v>122</v>
      </c>
      <c r="B51" s="2" t="s">
        <v>123</v>
      </c>
      <c r="C51" s="36" t="n">
        <v>1</v>
      </c>
      <c r="D51" s="19" t="s">
        <v>113</v>
      </c>
      <c r="E51" s="34" t="s">
        <v>124</v>
      </c>
      <c r="F51" s="34"/>
      <c r="G51" s="34"/>
      <c r="H51" s="34"/>
      <c r="I51" s="34"/>
    </row>
    <row r="52" customFormat="false" ht="27.75" hidden="false" customHeight="true" outlineLevel="0" collapsed="false">
      <c r="A52" s="14" t="s">
        <v>125</v>
      </c>
      <c r="B52" s="2" t="s">
        <v>112</v>
      </c>
      <c r="C52" s="37" t="n">
        <v>5000000</v>
      </c>
      <c r="D52" s="19" t="s">
        <v>113</v>
      </c>
      <c r="E52" s="34" t="s">
        <v>126</v>
      </c>
      <c r="F52" s="34"/>
      <c r="G52" s="34"/>
      <c r="H52" s="34"/>
      <c r="I52" s="34"/>
    </row>
    <row r="53" customFormat="false" ht="27.75" hidden="false" customHeight="true" outlineLevel="0" collapsed="false">
      <c r="A53" s="14" t="s">
        <v>127</v>
      </c>
      <c r="B53" s="2" t="s">
        <v>128</v>
      </c>
      <c r="C53" s="36" t="n">
        <v>4</v>
      </c>
      <c r="D53" s="19" t="s">
        <v>113</v>
      </c>
      <c r="E53" s="34" t="s">
        <v>129</v>
      </c>
      <c r="F53" s="34"/>
      <c r="G53" s="34"/>
      <c r="H53" s="34"/>
      <c r="I53" s="34"/>
    </row>
    <row r="54" customFormat="false" ht="27.75" hidden="false" customHeight="true" outlineLevel="0" collapsed="false">
      <c r="A54" s="14" t="s">
        <v>130</v>
      </c>
      <c r="B54" s="2" t="s">
        <v>131</v>
      </c>
      <c r="C54" s="36" t="n">
        <v>2023</v>
      </c>
      <c r="D54" s="19" t="s">
        <v>113</v>
      </c>
      <c r="E54" s="34" t="s">
        <v>132</v>
      </c>
      <c r="F54" s="34"/>
      <c r="G54" s="34"/>
      <c r="H54" s="34"/>
      <c r="I54" s="34"/>
    </row>
    <row r="55" customFormat="false" ht="27.75" hidden="false" customHeight="true" outlineLevel="0" collapsed="false">
      <c r="A55" s="14" t="s">
        <v>133</v>
      </c>
      <c r="B55" s="2" t="s">
        <v>116</v>
      </c>
      <c r="C55" s="35" t="n">
        <v>0</v>
      </c>
      <c r="D55" s="19" t="s">
        <v>113</v>
      </c>
      <c r="E55" s="34" t="s">
        <v>134</v>
      </c>
      <c r="F55" s="34"/>
      <c r="G55" s="34"/>
      <c r="H55" s="34"/>
      <c r="I55" s="34"/>
    </row>
    <row r="56" customFormat="false" ht="27.75" hidden="false" customHeight="true" outlineLevel="0" collapsed="false">
      <c r="A56" s="14" t="s">
        <v>135</v>
      </c>
      <c r="B56" s="2" t="s">
        <v>136</v>
      </c>
      <c r="C56" s="33" t="n">
        <f aca="false">G18</f>
        <v>210954</v>
      </c>
      <c r="D56" s="19" t="s">
        <v>113</v>
      </c>
      <c r="E56" s="34" t="s">
        <v>137</v>
      </c>
      <c r="F56" s="34"/>
      <c r="G56" s="34"/>
      <c r="H56" s="34"/>
      <c r="I56" s="34"/>
    </row>
    <row r="57" customFormat="false" ht="27.75" hidden="false" customHeight="true" outlineLevel="0" collapsed="false">
      <c r="A57" s="14" t="s">
        <v>138</v>
      </c>
      <c r="B57" s="2" t="s">
        <v>116</v>
      </c>
      <c r="C57" s="35" t="n">
        <v>0.06</v>
      </c>
      <c r="D57" s="19" t="s">
        <v>113</v>
      </c>
      <c r="E57" s="34" t="s">
        <v>139</v>
      </c>
      <c r="F57" s="34"/>
      <c r="G57" s="34"/>
      <c r="H57" s="34"/>
      <c r="I57" s="34"/>
    </row>
    <row r="58" customFormat="false" ht="27.75" hidden="false" customHeight="true" outlineLevel="0" collapsed="false">
      <c r="A58" s="14" t="s">
        <v>140</v>
      </c>
      <c r="B58" s="2" t="s">
        <v>141</v>
      </c>
      <c r="C58" s="38" t="n">
        <f aca="false">(G24/C24)^(1/4)-1</f>
        <v>0.112408977570143</v>
      </c>
      <c r="D58" s="19" t="s">
        <v>53</v>
      </c>
      <c r="E58" s="34" t="s">
        <v>142</v>
      </c>
      <c r="F58" s="34"/>
      <c r="G58" s="34"/>
      <c r="H58" s="34"/>
      <c r="I58" s="34"/>
    </row>
    <row r="59" customFormat="false" ht="27.75" hidden="false" customHeight="true" outlineLevel="0" collapsed="false">
      <c r="A59" s="14" t="s">
        <v>143</v>
      </c>
      <c r="B59" s="2" t="s">
        <v>144</v>
      </c>
      <c r="C59" s="39" t="n">
        <v>3</v>
      </c>
      <c r="D59" s="19" t="s">
        <v>113</v>
      </c>
      <c r="E59" s="34" t="s">
        <v>145</v>
      </c>
      <c r="F59" s="34"/>
      <c r="G59" s="34"/>
      <c r="H59" s="34"/>
      <c r="I59" s="34"/>
    </row>
    <row r="61" customFormat="false" ht="15" hidden="false" customHeight="false" outlineLevel="0" collapsed="false">
      <c r="A61" s="2" t="s">
        <v>146</v>
      </c>
    </row>
  </sheetData>
  <mergeCells count="13">
    <mergeCell ref="E47:I47"/>
    <mergeCell ref="E48:I48"/>
    <mergeCell ref="E49:I49"/>
    <mergeCell ref="E50:I50"/>
    <mergeCell ref="E51:I51"/>
    <mergeCell ref="E52:I52"/>
    <mergeCell ref="E53:I53"/>
    <mergeCell ref="E54:I54"/>
    <mergeCell ref="E55:I55"/>
    <mergeCell ref="E56:I56"/>
    <mergeCell ref="E57:I57"/>
    <mergeCell ref="E58:I58"/>
    <mergeCell ref="E59:I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8" min="8" style="0" width="5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10" t="s">
        <v>148</v>
      </c>
      <c r="B4" s="11"/>
      <c r="C4" s="11"/>
      <c r="D4" s="11"/>
      <c r="E4" s="11"/>
      <c r="F4" s="11"/>
      <c r="G4" s="11"/>
      <c r="H4" s="11"/>
    </row>
    <row r="5" customFormat="false" ht="15" hidden="false" customHeight="false" outlineLevel="0" collapsed="false">
      <c r="A5" s="21" t="s">
        <v>149</v>
      </c>
      <c r="B5" s="22" t="s">
        <v>108</v>
      </c>
      <c r="C5" s="22" t="s">
        <v>10</v>
      </c>
      <c r="D5" s="22" t="s">
        <v>11</v>
      </c>
      <c r="E5" s="22" t="s">
        <v>12</v>
      </c>
      <c r="F5" s="22" t="s">
        <v>13</v>
      </c>
      <c r="G5" s="22" t="s">
        <v>14</v>
      </c>
      <c r="H5" s="21" t="s">
        <v>150</v>
      </c>
    </row>
    <row r="6" customFormat="false" ht="15" hidden="false" customHeight="false" outlineLevel="0" collapsed="false">
      <c r="A6" s="14" t="s">
        <v>151</v>
      </c>
      <c r="B6" s="40" t="s">
        <v>152</v>
      </c>
      <c r="C6" s="41" t="s">
        <v>153</v>
      </c>
      <c r="D6" s="41" t="n">
        <f aca="false">Inputs!D17/Inputs!C17-1</f>
        <v>1.11457317342869</v>
      </c>
      <c r="E6" s="41" t="n">
        <f aca="false">Inputs!E17/Inputs!D17-1</f>
        <v>0.195988596577011</v>
      </c>
      <c r="F6" s="41" t="n">
        <f aca="false">Inputs!F17/Inputs!E17-1</f>
        <v>-0.258154469332719</v>
      </c>
      <c r="G6" s="41" t="n">
        <f aca="false">Inputs!G17/Inputs!F17-1</f>
        <v>-0.153709123158964</v>
      </c>
      <c r="H6" s="2" t="s">
        <v>154</v>
      </c>
    </row>
    <row r="7" customFormat="false" ht="15" hidden="false" customHeight="false" outlineLevel="0" collapsed="false">
      <c r="A7" s="14" t="s">
        <v>155</v>
      </c>
      <c r="B7" s="40" t="s">
        <v>152</v>
      </c>
      <c r="C7" s="41" t="s">
        <v>153</v>
      </c>
      <c r="D7" s="41" t="n">
        <f aca="false">Inputs!D14/Inputs!C14-1</f>
        <v>1.24986244432567</v>
      </c>
      <c r="E7" s="41" t="n">
        <f aca="false">Inputs!E14/Inputs!D14-1</f>
        <v>0.190625153650002</v>
      </c>
      <c r="F7" s="41" t="n">
        <f aca="false">Inputs!F14/Inputs!E14-1</f>
        <v>-0.283145213304852</v>
      </c>
      <c r="G7" s="41" t="n">
        <f aca="false">Inputs!G14/Inputs!F14-1</f>
        <v>-0.15457961054025</v>
      </c>
      <c r="H7" s="2"/>
    </row>
    <row r="8" customFormat="false" ht="15" hidden="false" customHeight="false" outlineLevel="0" collapsed="false">
      <c r="A8" s="14" t="s">
        <v>133</v>
      </c>
      <c r="B8" s="40" t="s">
        <v>152</v>
      </c>
      <c r="C8" s="41" t="s">
        <v>153</v>
      </c>
      <c r="D8" s="41" t="n">
        <f aca="false">Inputs!D16/Inputs!C16-1</f>
        <v>0.255884995507637</v>
      </c>
      <c r="E8" s="41" t="n">
        <f aca="false">Inputs!E16/Inputs!D16-1</f>
        <v>0.0280440692516812</v>
      </c>
      <c r="F8" s="41" t="n">
        <f aca="false">Inputs!F16/Inputs!E16-1</f>
        <v>-0.0873347251217815</v>
      </c>
      <c r="G8" s="41" t="n">
        <f aca="false">Inputs!G16/Inputs!F16-1</f>
        <v>-0.146016012199771</v>
      </c>
      <c r="H8" s="2"/>
    </row>
    <row r="9" customFormat="false" ht="15" hidden="false" customHeight="false" outlineLevel="0" collapsed="false">
      <c r="A9" s="14" t="s">
        <v>156</v>
      </c>
      <c r="B9" s="40" t="s">
        <v>152</v>
      </c>
      <c r="C9" s="41" t="s">
        <v>153</v>
      </c>
      <c r="D9" s="41" t="n">
        <f aca="false">Inputs!D24/Inputs!C24-1</f>
        <v>0.107890761538002</v>
      </c>
      <c r="E9" s="41" t="n">
        <f aca="false">Inputs!E24/Inputs!D24-1</f>
        <v>0.0710288126851069</v>
      </c>
      <c r="F9" s="41" t="n">
        <f aca="false">Inputs!F24/Inputs!E24-1</f>
        <v>0.24266320444186</v>
      </c>
      <c r="G9" s="41" t="n">
        <f aca="false">Inputs!G24/Inputs!F24-1</f>
        <v>0.0384997739461161</v>
      </c>
      <c r="H9" s="2" t="s">
        <v>157</v>
      </c>
    </row>
    <row r="11" customFormat="false" ht="15" hidden="false" customHeight="false" outlineLevel="0" collapsed="false">
      <c r="A11" s="10" t="s">
        <v>158</v>
      </c>
      <c r="B11" s="11"/>
      <c r="C11" s="11"/>
      <c r="D11" s="11"/>
      <c r="E11" s="11"/>
      <c r="F11" s="11"/>
      <c r="G11" s="11"/>
      <c r="H11" s="11"/>
    </row>
    <row r="12" customFormat="false" ht="15" hidden="false" customHeight="false" outlineLevel="0" collapsed="false">
      <c r="A12" s="21" t="s">
        <v>149</v>
      </c>
      <c r="B12" s="22" t="s">
        <v>108</v>
      </c>
      <c r="C12" s="22" t="s">
        <v>10</v>
      </c>
      <c r="D12" s="22" t="s">
        <v>11</v>
      </c>
      <c r="E12" s="22" t="s">
        <v>12</v>
      </c>
      <c r="F12" s="22" t="s">
        <v>13</v>
      </c>
      <c r="G12" s="22" t="s">
        <v>14</v>
      </c>
      <c r="H12" s="21" t="s">
        <v>150</v>
      </c>
    </row>
    <row r="13" customFormat="false" ht="15" hidden="false" customHeight="false" outlineLevel="0" collapsed="false">
      <c r="A13" s="14" t="s">
        <v>159</v>
      </c>
      <c r="B13" s="40" t="s">
        <v>152</v>
      </c>
      <c r="C13" s="41" t="n">
        <f aca="false">Inputs!C14/Inputs!C17</f>
        <v>0.869749167486299</v>
      </c>
      <c r="D13" s="41" t="n">
        <f aca="false">Inputs!D14/Inputs!D17</f>
        <v>0.925395258248759</v>
      </c>
      <c r="E13" s="41" t="n">
        <f aca="false">Inputs!E14/Inputs!E17</f>
        <v>0.921245298402363</v>
      </c>
      <c r="F13" s="41" t="n">
        <f aca="false">Inputs!F14/Inputs!F17</f>
        <v>0.890211067641148</v>
      </c>
      <c r="G13" s="41" t="n">
        <f aca="false">Inputs!G14/Inputs!G17</f>
        <v>0.889295404336404</v>
      </c>
      <c r="H13" s="2" t="s">
        <v>160</v>
      </c>
    </row>
    <row r="14" customFormat="false" ht="15" hidden="false" customHeight="false" outlineLevel="0" collapsed="false">
      <c r="A14" s="14" t="s">
        <v>161</v>
      </c>
      <c r="B14" s="40" t="s">
        <v>152</v>
      </c>
      <c r="C14" s="41" t="n">
        <f aca="false">IF((Inputs!C13=""),"Pending",Inputs!C13/Inputs!C17)</f>
        <v>0.37209908360795</v>
      </c>
      <c r="D14" s="41" t="n">
        <f aca="false">IF((Inputs!D13=""),"Pending",Inputs!D13/Inputs!D17)</f>
        <v>0.00460259937751482</v>
      </c>
      <c r="E14" s="41" t="n">
        <f aca="false">IF((Inputs!E13=""),"Pending",Inputs!E13/Inputs!E17)</f>
        <v>0.0147138978333661</v>
      </c>
      <c r="F14" s="41" t="n">
        <f aca="false">IF((Inputs!F13=""),"Pending",Inputs!F13/Inputs!F17)</f>
        <v>0.0705296171092072</v>
      </c>
      <c r="G14" s="41" t="n">
        <f aca="false">IF((Inputs!G13=""),"Pending",Inputs!G13/Inputs!G17)</f>
        <v>0.142050368570655</v>
      </c>
      <c r="H14" s="2" t="s">
        <v>162</v>
      </c>
    </row>
    <row r="15" customFormat="false" ht="15" hidden="false" customHeight="false" outlineLevel="0" collapsed="false">
      <c r="A15" s="14" t="s">
        <v>163</v>
      </c>
      <c r="B15" s="40" t="s">
        <v>152</v>
      </c>
      <c r="C15" s="41" t="n">
        <f aca="false">IF((Inputs!C13=""),"Pending",(Inputs!C14-Inputs!C13)/Inputs!C17)</f>
        <v>0.497650083878349</v>
      </c>
      <c r="D15" s="41" t="n">
        <f aca="false">IF((Inputs!D13=""),"Pending",(Inputs!D14-Inputs!D13)/Inputs!D17)</f>
        <v>0.920792658871244</v>
      </c>
      <c r="E15" s="41" t="n">
        <f aca="false">IF((Inputs!E13=""),"Pending",(Inputs!E14-Inputs!E13)/Inputs!E17)</f>
        <v>0.906531400568997</v>
      </c>
      <c r="F15" s="41" t="n">
        <f aca="false">IF((Inputs!F13=""),"Pending",(Inputs!F14-Inputs!F13)/Inputs!F17)</f>
        <v>0.819681450531941</v>
      </c>
      <c r="G15" s="41" t="n">
        <f aca="false">IF((Inputs!G13=""),"Pending",(Inputs!G14-Inputs!G13)/Inputs!G17)</f>
        <v>0.747245035765749</v>
      </c>
      <c r="H15" s="2" t="s">
        <v>54</v>
      </c>
    </row>
    <row r="16" customFormat="false" ht="15" hidden="false" customHeight="false" outlineLevel="0" collapsed="false">
      <c r="A16" s="14" t="s">
        <v>24</v>
      </c>
      <c r="B16" s="40" t="s">
        <v>152</v>
      </c>
      <c r="C16" s="41" t="n">
        <f aca="false">Inputs!C16/Inputs!C17</f>
        <v>0.126877687173658</v>
      </c>
      <c r="D16" s="41" t="n">
        <f aca="false">Inputs!D16/Inputs!D17</f>
        <v>0.0753550577432794</v>
      </c>
      <c r="E16" s="41" t="n">
        <f aca="false">Inputs!E16/Inputs!E17</f>
        <v>0.064773460568784</v>
      </c>
      <c r="F16" s="41" t="n">
        <f aca="false">Inputs!F16/Inputs!F17</f>
        <v>0.0796884064822068</v>
      </c>
      <c r="G16" s="41" t="n">
        <f aca="false">Inputs!G16/Inputs!G17</f>
        <v>0.080412804877611</v>
      </c>
      <c r="H16" s="2" t="s">
        <v>164</v>
      </c>
    </row>
    <row r="17" customFormat="false" ht="15" hidden="false" customHeight="false" outlineLevel="0" collapsed="false">
      <c r="A17" s="14" t="s">
        <v>135</v>
      </c>
      <c r="B17" s="40" t="s">
        <v>152</v>
      </c>
      <c r="C17" s="41" t="n">
        <f aca="false">Inputs!C18/Inputs!C17</f>
        <v>0.0033731453400436</v>
      </c>
      <c r="D17" s="41" t="n">
        <f aca="false">Inputs!D18/Inputs!D17</f>
        <v>-0.000750315992038176</v>
      </c>
      <c r="E17" s="41" t="n">
        <f aca="false">Inputs!E18/Inputs!E17</f>
        <v>0.0139812410288532</v>
      </c>
      <c r="F17" s="41" t="n">
        <f aca="false">Inputs!F18/Inputs!F17</f>
        <v>0.0301005258766454</v>
      </c>
      <c r="G17" s="41" t="n">
        <f aca="false">Inputs!G18/Inputs!G17</f>
        <v>0.0302917907859849</v>
      </c>
      <c r="H17" s="2"/>
    </row>
    <row r="18" customFormat="false" ht="15" hidden="false" customHeight="false" outlineLevel="0" collapsed="false">
      <c r="A18" s="12" t="s">
        <v>165</v>
      </c>
      <c r="B18" s="40" t="s">
        <v>152</v>
      </c>
      <c r="C18" s="42" t="n">
        <f aca="false">C13+C16+C17</f>
        <v>1</v>
      </c>
      <c r="D18" s="42" t="n">
        <f aca="false">D13+D16+D17</f>
        <v>1</v>
      </c>
      <c r="E18" s="42" t="n">
        <f aca="false">E13+E16+E17</f>
        <v>1</v>
      </c>
      <c r="F18" s="42" t="n">
        <f aca="false">F13+F16+F17</f>
        <v>1</v>
      </c>
      <c r="G18" s="42" t="n">
        <f aca="false">G13+G16+G17</f>
        <v>1</v>
      </c>
      <c r="H18" s="2" t="s">
        <v>166</v>
      </c>
    </row>
    <row r="20" customFormat="false" ht="15" hidden="false" customHeight="false" outlineLevel="0" collapsed="false">
      <c r="A20" s="10" t="s">
        <v>167</v>
      </c>
      <c r="B20" s="11"/>
      <c r="C20" s="11"/>
      <c r="D20" s="11"/>
      <c r="E20" s="11"/>
      <c r="F20" s="11"/>
      <c r="G20" s="11"/>
      <c r="H20" s="11"/>
    </row>
    <row r="21" customFormat="false" ht="15" hidden="false" customHeight="false" outlineLevel="0" collapsed="false">
      <c r="A21" s="21" t="s">
        <v>149</v>
      </c>
      <c r="B21" s="22" t="s">
        <v>108</v>
      </c>
      <c r="C21" s="22" t="s">
        <v>10</v>
      </c>
      <c r="D21" s="22" t="s">
        <v>11</v>
      </c>
      <c r="E21" s="22" t="s">
        <v>12</v>
      </c>
      <c r="F21" s="22" t="s">
        <v>13</v>
      </c>
      <c r="G21" s="22" t="s">
        <v>14</v>
      </c>
      <c r="H21" s="21" t="s">
        <v>150</v>
      </c>
    </row>
    <row r="22" customFormat="false" ht="15" hidden="false" customHeight="false" outlineLevel="0" collapsed="false">
      <c r="A22" s="14" t="s">
        <v>168</v>
      </c>
      <c r="B22" s="40" t="s">
        <v>152</v>
      </c>
      <c r="C22" s="41" t="n">
        <f aca="false">IF((Inputs!C21=""),"Pending",Inputs!C21/Inputs!C24)</f>
        <v>0.766006124014615</v>
      </c>
      <c r="D22" s="41" t="n">
        <f aca="false">IF((Inputs!D21=""),"Pending",Inputs!D21/Inputs!D24)</f>
        <v>0.714569689358611</v>
      </c>
      <c r="E22" s="41" t="n">
        <f aca="false">IF((Inputs!E21=""),"Pending",Inputs!E21/Inputs!E24)</f>
        <v>0.688206367863837</v>
      </c>
      <c r="F22" s="41" t="n">
        <f aca="false">IF((Inputs!F21=""),"Pending",Inputs!F21/Inputs!F24)</f>
        <v>0.721547661998316</v>
      </c>
      <c r="G22" s="41" t="n">
        <f aca="false">IF((Inputs!G21=""),"Pending",Inputs!G21/Inputs!G24)</f>
        <v>0.707229571790703</v>
      </c>
      <c r="H22" s="2" t="s">
        <v>169</v>
      </c>
    </row>
    <row r="23" customFormat="false" ht="15" hidden="false" customHeight="false" outlineLevel="0" collapsed="false">
      <c r="A23" s="14" t="s">
        <v>170</v>
      </c>
      <c r="B23" s="40" t="s">
        <v>152</v>
      </c>
      <c r="C23" s="41" t="n">
        <f aca="false">IF((Inputs!C22=""),"Pending",Inputs!C22/Inputs!C24)</f>
        <v>0.105040790413233</v>
      </c>
      <c r="D23" s="41" t="n">
        <f aca="false">IF((Inputs!D22=""),"Pending",Inputs!D22/Inputs!D24)</f>
        <v>0.12192823867738</v>
      </c>
      <c r="E23" s="41" t="n">
        <f aca="false">IF((Inputs!E22=""),"Pending",Inputs!E22/Inputs!E24)</f>
        <v>0.145035913176711</v>
      </c>
      <c r="F23" s="41" t="n">
        <f aca="false">IF((Inputs!F22=""),"Pending",Inputs!F22/Inputs!F24)</f>
        <v>0.105359760093483</v>
      </c>
      <c r="G23" s="41" t="n">
        <f aca="false">IF((Inputs!G22=""),"Pending",Inputs!G22/Inputs!G24)</f>
        <v>0.127298932539049</v>
      </c>
      <c r="H23" s="2"/>
    </row>
    <row r="24" customFormat="false" ht="15" hidden="false" customHeight="false" outlineLevel="0" collapsed="false">
      <c r="A24" s="14" t="s">
        <v>171</v>
      </c>
      <c r="B24" s="40" t="s">
        <v>152</v>
      </c>
      <c r="C24" s="41" t="n">
        <f aca="false">IF((Inputs!C23=""),"Pending",Inputs!C23/Inputs!C24)</f>
        <v>0.128953085572152</v>
      </c>
      <c r="D24" s="41" t="n">
        <f aca="false">IF((Inputs!D23=""),"Pending",Inputs!D23/Inputs!D24)</f>
        <v>0.163502071964008</v>
      </c>
      <c r="E24" s="41" t="n">
        <f aca="false">IF((Inputs!E23=""),"Pending",Inputs!E23/Inputs!E24)</f>
        <v>0.166757718959453</v>
      </c>
      <c r="F24" s="41" t="n">
        <f aca="false">IF((Inputs!F23=""),"Pending",Inputs!F23/Inputs!F24)</f>
        <v>0.173092577908201</v>
      </c>
      <c r="G24" s="41" t="n">
        <f aca="false">IF((Inputs!G23=""),"Pending",Inputs!G23/Inputs!G24)</f>
        <v>0.165471495670248</v>
      </c>
      <c r="H24" s="2"/>
    </row>
    <row r="25" customFormat="false" ht="15" hidden="false" customHeight="false" outlineLevel="0" collapsed="false">
      <c r="A25" s="14" t="s">
        <v>172</v>
      </c>
      <c r="B25" s="40" t="s">
        <v>112</v>
      </c>
      <c r="C25" s="43" t="n">
        <f aca="false">IF((Inputs!C23=""),"Pending",Inputs!C23/Inputs!C14)</f>
        <v>0.178233619996126</v>
      </c>
      <c r="D25" s="43" t="n">
        <f aca="false">IF((Inputs!D23=""),"Pending",Inputs!D23/Inputs!D14)</f>
        <v>0.111281283140339</v>
      </c>
      <c r="E25" s="43" t="n">
        <f aca="false">IF((Inputs!E23=""),"Pending",Inputs!E23/Inputs!E14)</f>
        <v>0.10209651333962</v>
      </c>
      <c r="F25" s="43" t="n">
        <f aca="false">IF((Inputs!F23=""),"Pending",Inputs!F23/Inputs!F14)</f>
        <v>0.1837069811525</v>
      </c>
      <c r="G25" s="43" t="n">
        <f aca="false">IF((Inputs!G23=""),"Pending",Inputs!G23/Inputs!G14)</f>
        <v>0.215726797081467</v>
      </c>
      <c r="H25" s="2" t="s">
        <v>173</v>
      </c>
    </row>
    <row r="26" customFormat="false" ht="15" hidden="false" customHeight="false" outlineLevel="0" collapsed="false">
      <c r="A26" s="14" t="s">
        <v>174</v>
      </c>
      <c r="B26" s="40" t="s">
        <v>152</v>
      </c>
      <c r="C26" s="41" t="n">
        <f aca="false">IF((Inputs!C25=""),"Pending",Inputs!C25/Inputs!C24)</f>
        <v>0.898765240100632</v>
      </c>
      <c r="D26" s="41" t="n">
        <f aca="false">IF((Inputs!D25=""),"Pending",Inputs!D25/Inputs!D24)</f>
        <v>0.857632354650531</v>
      </c>
      <c r="E26" s="41" t="n">
        <f aca="false">IF((Inputs!E25=""),"Pending",Inputs!E25/Inputs!E24)</f>
        <v>0.820746272903062</v>
      </c>
      <c r="F26" s="41" t="n">
        <f aca="false">IF((Inputs!F25=""),"Pending",Inputs!F25/Inputs!F24)</f>
        <v>0.829491317665838</v>
      </c>
      <c r="G26" s="41" t="n">
        <f aca="false">IF((Inputs!G25=""),"Pending",Inputs!G25/Inputs!G24)</f>
        <v>0.83912918708762</v>
      </c>
      <c r="H26" s="2" t="s">
        <v>175</v>
      </c>
    </row>
    <row r="27" customFormat="false" ht="15" hidden="false" customHeight="false" outlineLevel="0" collapsed="false">
      <c r="A27" s="14" t="s">
        <v>176</v>
      </c>
      <c r="B27" s="40" t="s">
        <v>112</v>
      </c>
      <c r="C27" s="27" t="n">
        <f aca="false">IF((Inputs!C43=""),"Pending",Inputs!C24/Inputs!C43)</f>
        <v>77539.4852941177</v>
      </c>
      <c r="D27" s="27" t="n">
        <f aca="false">IF((Inputs!D43=""),"Pending",Inputs!D24/Inputs!D43)</f>
        <v>83450.8428571429</v>
      </c>
      <c r="E27" s="27" t="n">
        <f aca="false">IF((Inputs!E43=""),"Pending",Inputs!E24/Inputs!E43)</f>
        <v>80211.2564102564</v>
      </c>
      <c r="F27" s="27" t="n">
        <f aca="false">IF((Inputs!F43=""),"Pending",Inputs!F24/Inputs!F43)</f>
        <v>90403.4302325581</v>
      </c>
      <c r="G27" s="27" t="n">
        <f aca="false">IF((Inputs!G43=""),"Pending",Inputs!G24/Inputs!G43)</f>
        <v>79157.0490196079</v>
      </c>
      <c r="H27" s="2"/>
    </row>
    <row r="29" customFormat="false" ht="15" hidden="false" customHeight="false" outlineLevel="0" collapsed="false">
      <c r="A29" s="10" t="s">
        <v>177</v>
      </c>
      <c r="B29" s="11"/>
      <c r="C29" s="11"/>
      <c r="D29" s="11"/>
      <c r="E29" s="11"/>
      <c r="F29" s="11"/>
      <c r="G29" s="11"/>
      <c r="H29" s="11"/>
    </row>
    <row r="30" customFormat="false" ht="15" hidden="false" customHeight="false" outlineLevel="0" collapsed="false">
      <c r="A30" s="21" t="s">
        <v>149</v>
      </c>
      <c r="B30" s="22" t="s">
        <v>108</v>
      </c>
      <c r="C30" s="22" t="s">
        <v>10</v>
      </c>
      <c r="D30" s="22" t="s">
        <v>11</v>
      </c>
      <c r="E30" s="22" t="s">
        <v>12</v>
      </c>
      <c r="F30" s="22" t="s">
        <v>13</v>
      </c>
      <c r="G30" s="22" t="s">
        <v>14</v>
      </c>
      <c r="H30" s="21" t="s">
        <v>150</v>
      </c>
    </row>
    <row r="31" customFormat="false" ht="15" hidden="false" customHeight="false" outlineLevel="0" collapsed="false">
      <c r="A31" s="12" t="s">
        <v>72</v>
      </c>
      <c r="B31" s="40" t="s">
        <v>112</v>
      </c>
      <c r="C31" s="44" t="n">
        <f aca="false">Inputs!C26</f>
        <v>-886571</v>
      </c>
      <c r="D31" s="44" t="n">
        <f aca="false">Inputs!D26</f>
        <v>3433200</v>
      </c>
      <c r="E31" s="44" t="n">
        <f aca="false">Inputs!E26</f>
        <v>4836028</v>
      </c>
      <c r="F31" s="44" t="n">
        <f aca="false">Inputs!F26</f>
        <v>454231</v>
      </c>
      <c r="G31" s="44" t="n">
        <f aca="false">Inputs!G26</f>
        <v>-1109954</v>
      </c>
      <c r="H31" s="2" t="s">
        <v>178</v>
      </c>
    </row>
    <row r="32" customFormat="false" ht="15" hidden="false" customHeight="false" outlineLevel="0" collapsed="false">
      <c r="A32" s="14" t="s">
        <v>179</v>
      </c>
      <c r="B32" s="40" t="s">
        <v>152</v>
      </c>
      <c r="C32" s="41" t="n">
        <f aca="false">C31/Inputs!C17</f>
        <v>-0.202131317152267</v>
      </c>
      <c r="D32" s="41" t="n">
        <f aca="false">D31/Inputs!D17</f>
        <v>0.370165952560061</v>
      </c>
      <c r="E32" s="41" t="n">
        <f aca="false">E31/Inputs!E17</f>
        <v>0.435972538576946</v>
      </c>
      <c r="F32" s="41" t="n">
        <f aca="false">F31/Inputs!F17</f>
        <v>0.0551993054743718</v>
      </c>
      <c r="G32" s="41" t="n">
        <f aca="false">G31/Inputs!G17</f>
        <v>-0.159383061473435</v>
      </c>
      <c r="H32" s="2" t="s">
        <v>180</v>
      </c>
    </row>
    <row r="34" customFormat="false" ht="15" hidden="false" customHeight="false" outlineLevel="0" collapsed="false">
      <c r="A34" s="10" t="s">
        <v>181</v>
      </c>
      <c r="B34" s="11"/>
      <c r="C34" s="11"/>
      <c r="D34" s="11"/>
      <c r="E34" s="11"/>
      <c r="F34" s="11"/>
      <c r="G34" s="11"/>
      <c r="H34" s="11"/>
    </row>
    <row r="35" customFormat="false" ht="15" hidden="false" customHeight="false" outlineLevel="0" collapsed="false">
      <c r="A35" s="21" t="s">
        <v>149</v>
      </c>
      <c r="B35" s="22" t="s">
        <v>108</v>
      </c>
      <c r="C35" s="22" t="s">
        <v>10</v>
      </c>
      <c r="D35" s="22" t="s">
        <v>11</v>
      </c>
      <c r="E35" s="22" t="s">
        <v>12</v>
      </c>
      <c r="F35" s="22" t="s">
        <v>13</v>
      </c>
      <c r="G35" s="22" t="s">
        <v>14</v>
      </c>
      <c r="H35" s="21" t="s">
        <v>150</v>
      </c>
    </row>
    <row r="36" customFormat="false" ht="15" hidden="false" customHeight="false" outlineLevel="0" collapsed="false">
      <c r="A36" s="14" t="s">
        <v>182</v>
      </c>
      <c r="B36" s="40" t="s">
        <v>112</v>
      </c>
      <c r="C36" s="27" t="n">
        <f aca="false">Inputs!C24/12</f>
        <v>439390.416666667</v>
      </c>
      <c r="D36" s="27" t="n">
        <f aca="false">Inputs!D24/12</f>
        <v>486796.583333333</v>
      </c>
      <c r="E36" s="27" t="n">
        <f aca="false">Inputs!E24/12</f>
        <v>521373.166666667</v>
      </c>
      <c r="F36" s="27" t="n">
        <f aca="false">Inputs!F24/12</f>
        <v>647891.25</v>
      </c>
      <c r="G36" s="27" t="n">
        <f aca="false">Inputs!G24/12</f>
        <v>672834.916666667</v>
      </c>
      <c r="H36" s="2" t="s">
        <v>183</v>
      </c>
    </row>
    <row r="37" customFormat="false" ht="15" hidden="false" customHeight="false" outlineLevel="0" collapsed="false">
      <c r="A37" s="14" t="s">
        <v>184</v>
      </c>
      <c r="B37" s="40" t="s">
        <v>185</v>
      </c>
      <c r="C37" s="45" t="n">
        <f aca="false">Inputs!C38/C36</f>
        <v>11.7434741502669</v>
      </c>
      <c r="D37" s="45" t="n">
        <f aca="false">Inputs!D38/D36</f>
        <v>17.6395321865276</v>
      </c>
      <c r="E37" s="45" t="n">
        <f aca="false">Inputs!E38/E36</f>
        <v>25.7870002899395</v>
      </c>
      <c r="F37" s="45" t="n">
        <f aca="false">Inputs!F38/F36</f>
        <v>21.5002641261168</v>
      </c>
      <c r="G37" s="45" t="n">
        <f aca="false">Inputs!G38/G36</f>
        <v>19.171788919496</v>
      </c>
      <c r="H37" s="2" t="s">
        <v>186</v>
      </c>
    </row>
    <row r="38" customFormat="false" ht="15" hidden="false" customHeight="false" outlineLevel="0" collapsed="false">
      <c r="A38" s="12" t="s">
        <v>187</v>
      </c>
      <c r="B38" s="40" t="s">
        <v>185</v>
      </c>
      <c r="C38" s="45" t="n">
        <f aca="false">IF((Inputs!C36=""),"Pending",Inputs!C36/C36)</f>
        <v>6.73273218483562</v>
      </c>
      <c r="D38" s="45" t="n">
        <f aca="false">IF((Inputs!D36=""),"Pending",Inputs!D36/D36)</f>
        <v>15.0982612689523</v>
      </c>
      <c r="E38" s="45" t="n">
        <f aca="false">IF((Inputs!E36=""),"Pending",Inputs!E36/E36)</f>
        <v>13.2742734810224</v>
      </c>
      <c r="F38" s="45" t="n">
        <f aca="false">IF((Inputs!F36=""),"Pending",Inputs!F36/F36)</f>
        <v>9.57815837148596</v>
      </c>
      <c r="G38" s="45" t="n">
        <f aca="false">IF((Inputs!G36=""),"Pending",Inputs!G36/G36)</f>
        <v>9.5070809221529</v>
      </c>
      <c r="H38" s="26" t="s">
        <v>188</v>
      </c>
    </row>
    <row r="39" customFormat="false" ht="15" hidden="false" customHeight="false" outlineLevel="0" collapsed="false">
      <c r="A39" s="14" t="s">
        <v>189</v>
      </c>
      <c r="B39" s="40" t="s">
        <v>185</v>
      </c>
      <c r="C39" s="45" t="n">
        <f aca="false">IF((Inputs!C30="")+(Inputs!C31="")+(Inputs!C33=""),"Pending",(Inputs!C30+Inputs!C31+Inputs!C33)/C36)</f>
        <v>9.47655397582067</v>
      </c>
      <c r="D39" s="45" t="n">
        <f aca="false">IF((Inputs!D30="")+(Inputs!D31="")+(Inputs!D33=""),"Pending",(Inputs!D30+Inputs!D31+Inputs!D33)/D36)</f>
        <v>13.7580238426078</v>
      </c>
      <c r="E39" s="45" t="n">
        <f aca="false">IF((Inputs!E30="")+(Inputs!E31="")+(Inputs!E33=""),"Pending",(Inputs!E30+Inputs!E31+Inputs!E33)/E36)</f>
        <v>11.7702931265802</v>
      </c>
      <c r="F39" s="45" t="n">
        <f aca="false">IF((Inputs!F30="")+(Inputs!F31="")+(Inputs!F33=""),"Pending",(Inputs!F30+Inputs!F31+Inputs!F33)/F36)</f>
        <v>10.5914565137282</v>
      </c>
      <c r="G39" s="45" t="n">
        <f aca="false">IF((Inputs!G30="")+(Inputs!G31="")+(Inputs!G33=""),"Pending",(Inputs!G30+Inputs!G31+Inputs!G33)/G36)</f>
        <v>9.97547962173485</v>
      </c>
      <c r="H39" s="2" t="s">
        <v>190</v>
      </c>
    </row>
    <row r="40" customFormat="false" ht="15" hidden="false" customHeight="false" outlineLevel="0" collapsed="false">
      <c r="A40" s="14" t="s">
        <v>191</v>
      </c>
      <c r="B40" s="40" t="s">
        <v>152</v>
      </c>
      <c r="C40" s="41" t="n">
        <f aca="false">IF((Inputs!C37=""),"Pending",Inputs!C37/Inputs!C38)</f>
        <v>0.426683100870742</v>
      </c>
      <c r="D40" s="41" t="n">
        <f aca="false">IF((Inputs!D37=""),"Pending",Inputs!D37/Inputs!D38)</f>
        <v>0.144066797843776</v>
      </c>
      <c r="E40" s="41" t="n">
        <f aca="false">IF((Inputs!E37=""),"Pending",Inputs!E37/Inputs!E38)</f>
        <v>0.485233903448584</v>
      </c>
      <c r="F40" s="41" t="n">
        <f aca="false">IF((Inputs!F37=""),"Pending",Inputs!F37/Inputs!F38)</f>
        <v>0.554509734610602</v>
      </c>
      <c r="G40" s="41" t="n">
        <f aca="false">IF((Inputs!G37=""),"Pending",Inputs!G37/Inputs!G38)</f>
        <v>0.504110912024227</v>
      </c>
      <c r="H40" s="2" t="s">
        <v>192</v>
      </c>
    </row>
    <row r="41" customFormat="false" ht="15" hidden="false" customHeight="false" outlineLevel="0" collapsed="false">
      <c r="A41" s="14" t="s">
        <v>193</v>
      </c>
      <c r="B41" s="40" t="s">
        <v>152</v>
      </c>
      <c r="C41" s="41" t="n">
        <f aca="false">IF((Inputs!C32=""),"Pending",Inputs!C32/Inputs!C34)</f>
        <v>0.197642609249271</v>
      </c>
      <c r="D41" s="41" t="n">
        <f aca="false">IF((Inputs!D32=""),"Pending",Inputs!D32/Inputs!D34)</f>
        <v>0.22225395921456</v>
      </c>
      <c r="E41" s="41" t="n">
        <f aca="false">IF((Inputs!E32=""),"Pending",Inputs!E32/Inputs!E34)</f>
        <v>0.502183720844027</v>
      </c>
      <c r="F41" s="41" t="n">
        <f aca="false">IF((Inputs!F32=""),"Pending",Inputs!F32/Inputs!F34)</f>
        <v>0.479305641877295</v>
      </c>
      <c r="G41" s="41" t="n">
        <f aca="false">IF((Inputs!G32=""),"Pending",Inputs!G32/Inputs!G34)</f>
        <v>0.465370650480029</v>
      </c>
      <c r="H41" s="2" t="s">
        <v>194</v>
      </c>
    </row>
    <row r="42" customFormat="false" ht="15" hidden="false" customHeight="false" outlineLevel="0" collapsed="false">
      <c r="A42" s="14" t="s">
        <v>195</v>
      </c>
      <c r="B42" s="40" t="s">
        <v>185</v>
      </c>
      <c r="C42" s="45" t="n">
        <f aca="false">IF(ISNUMBER(C38),C38-Inputs!$C$59,"Pending")</f>
        <v>3.73273218483562</v>
      </c>
      <c r="D42" s="45" t="n">
        <f aca="false">IF(ISNUMBER(D38),D38-Inputs!$C$59,"Pending")</f>
        <v>12.0982612689523</v>
      </c>
      <c r="E42" s="45" t="n">
        <f aca="false">IF(ISNUMBER(E38),E38-Inputs!$C$59,"Pending")</f>
        <v>10.2742734810224</v>
      </c>
      <c r="F42" s="45" t="n">
        <f aca="false">IF(ISNUMBER(F38),F38-Inputs!$C$59,"Pending")</f>
        <v>6.57815837148596</v>
      </c>
      <c r="G42" s="45" t="n">
        <f aca="false">IF(ISNUMBER(G38),G38-Inputs!$C$59,"Pending")</f>
        <v>6.5070809221529</v>
      </c>
      <c r="H42" s="2" t="s">
        <v>196</v>
      </c>
    </row>
    <row r="44" customFormat="false" ht="15" hidden="false" customHeight="false" outlineLevel="0" collapsed="false">
      <c r="A44" s="10" t="s">
        <v>197</v>
      </c>
      <c r="B44" s="11"/>
      <c r="C44" s="11"/>
      <c r="D44" s="11"/>
      <c r="E44" s="11"/>
      <c r="F44" s="11"/>
      <c r="G44" s="11"/>
      <c r="H44" s="11"/>
    </row>
    <row r="45" customFormat="false" ht="15" hidden="false" customHeight="false" outlineLevel="0" collapsed="false">
      <c r="A45" s="31" t="s">
        <v>149</v>
      </c>
      <c r="B45" s="31" t="s">
        <v>108</v>
      </c>
      <c r="C45" s="31" t="s">
        <v>109</v>
      </c>
      <c r="D45" s="32"/>
      <c r="E45" s="32"/>
      <c r="F45" s="32"/>
      <c r="G45" s="32"/>
      <c r="H45" s="31" t="s">
        <v>198</v>
      </c>
    </row>
    <row r="46" customFormat="false" ht="15" hidden="false" customHeight="false" outlineLevel="0" collapsed="false">
      <c r="A46" s="14" t="s">
        <v>199</v>
      </c>
      <c r="B46" s="40" t="s">
        <v>116</v>
      </c>
      <c r="C46" s="41" t="n">
        <f aca="false">(Inputs!G17/Inputs!C17)^(1/4)-1</f>
        <v>0.122524232676949</v>
      </c>
      <c r="H46" s="2" t="s">
        <v>200</v>
      </c>
    </row>
    <row r="47" customFormat="false" ht="15" hidden="false" customHeight="false" outlineLevel="0" collapsed="false">
      <c r="A47" s="14" t="s">
        <v>201</v>
      </c>
      <c r="B47" s="40" t="s">
        <v>116</v>
      </c>
      <c r="C47" s="41" t="n">
        <f aca="false">(Inputs!G24/Inputs!C24)^(1/4)-1</f>
        <v>0.112408977570143</v>
      </c>
      <c r="H47" s="2" t="s">
        <v>202</v>
      </c>
    </row>
    <row r="48" customFormat="false" ht="15" hidden="false" customHeight="false" outlineLevel="0" collapsed="false">
      <c r="A48" s="14" t="s">
        <v>203</v>
      </c>
      <c r="B48" s="40" t="s">
        <v>152</v>
      </c>
      <c r="C48" s="41" t="n">
        <f aca="false">STDEV(Inputs!C17:G17)/AVERAGE(Inputs!C17:G17)</f>
        <v>0.31525006155052</v>
      </c>
      <c r="H48" s="2" t="s">
        <v>204</v>
      </c>
    </row>
    <row r="49" customFormat="false" ht="15" hidden="false" customHeight="false" outlineLevel="0" collapsed="false">
      <c r="A49" s="14" t="s">
        <v>205</v>
      </c>
      <c r="B49" s="40" t="s">
        <v>152</v>
      </c>
      <c r="C49" s="41" t="n">
        <f aca="false">STDEV(Inputs!C24:G24)/AVERAGE(Inputs!C24:G24)</f>
        <v>0.184311117822982</v>
      </c>
      <c r="H49" s="2" t="s">
        <v>206</v>
      </c>
    </row>
    <row r="50" customFormat="false" ht="15" hidden="false" customHeight="false" outlineLevel="0" collapsed="false">
      <c r="A50" s="14" t="s">
        <v>207</v>
      </c>
      <c r="B50" s="40" t="s">
        <v>112</v>
      </c>
      <c r="C50" s="27" t="n">
        <f aca="false">SUM(C31:G31)</f>
        <v>6726934</v>
      </c>
      <c r="H50" s="2" t="s">
        <v>208</v>
      </c>
    </row>
    <row r="51" customFormat="false" ht="15" hidden="false" customHeight="false" outlineLevel="0" collapsed="false">
      <c r="A51" s="14" t="s">
        <v>209</v>
      </c>
      <c r="B51" s="40" t="s">
        <v>210</v>
      </c>
      <c r="C51" s="46" t="n">
        <f aca="false">COUNTIF(C31:G31,"&lt;0")</f>
        <v>2</v>
      </c>
      <c r="H51" s="2"/>
    </row>
    <row r="52" customFormat="false" ht="15" hidden="false" customHeight="false" outlineLevel="0" collapsed="false">
      <c r="A52" s="14" t="s">
        <v>211</v>
      </c>
      <c r="B52" s="40" t="s">
        <v>112</v>
      </c>
      <c r="C52" s="27" t="n">
        <f aca="false">MAX(Inputs!C17:G17)</f>
        <v>11092506</v>
      </c>
      <c r="H52" s="2"/>
    </row>
    <row r="53" customFormat="false" ht="15" hidden="false" customHeight="false" outlineLevel="0" collapsed="false">
      <c r="A53" s="14" t="s">
        <v>212</v>
      </c>
      <c r="B53" s="40" t="s">
        <v>112</v>
      </c>
      <c r="C53" s="27" t="n">
        <f aca="false">MIN(Inputs!C17:G17)</f>
        <v>4386114</v>
      </c>
      <c r="H53" s="2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0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5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214</v>
      </c>
    </row>
    <row r="4" customFormat="false" ht="15" hidden="false" customHeight="false" outlineLevel="0" collapsed="false">
      <c r="A4" s="10" t="s">
        <v>215</v>
      </c>
      <c r="B4" s="11"/>
      <c r="C4" s="11"/>
      <c r="D4" s="11"/>
      <c r="E4" s="11"/>
      <c r="F4" s="11"/>
    </row>
    <row r="5" customFormat="false" ht="15" hidden="false" customHeight="false" outlineLevel="0" collapsed="false">
      <c r="A5" s="31" t="s">
        <v>107</v>
      </c>
      <c r="B5" s="32"/>
      <c r="C5" s="31" t="s">
        <v>109</v>
      </c>
      <c r="D5" s="32"/>
      <c r="E5" s="32"/>
      <c r="F5" s="31" t="s">
        <v>216</v>
      </c>
    </row>
    <row r="6" customFormat="false" ht="15" hidden="false" customHeight="false" outlineLevel="0" collapsed="false">
      <c r="A6" s="14" t="s">
        <v>111</v>
      </c>
      <c r="C6" s="47" t="n">
        <f aca="false">Scenarios!H11</f>
        <v>5203863</v>
      </c>
      <c r="F6" s="2" t="s">
        <v>217</v>
      </c>
    </row>
    <row r="7" customFormat="false" ht="15" hidden="false" customHeight="false" outlineLevel="0" collapsed="false">
      <c r="A7" s="14" t="s">
        <v>115</v>
      </c>
      <c r="C7" s="48" t="n">
        <f aca="false">Scenarios!H12</f>
        <v>0.03</v>
      </c>
      <c r="F7" s="2" t="s">
        <v>218</v>
      </c>
    </row>
    <row r="8" customFormat="false" ht="15" hidden="false" customHeight="false" outlineLevel="0" collapsed="false">
      <c r="A8" s="14" t="s">
        <v>118</v>
      </c>
      <c r="C8" s="47" t="n">
        <f aca="false">Scenarios!H13</f>
        <v>989248</v>
      </c>
      <c r="F8" s="2" t="s">
        <v>219</v>
      </c>
    </row>
    <row r="9" customFormat="false" ht="15" hidden="false" customHeight="false" outlineLevel="0" collapsed="false">
      <c r="A9" s="14" t="s">
        <v>120</v>
      </c>
      <c r="C9" s="48" t="n">
        <f aca="false">Scenarios!H14</f>
        <v>0</v>
      </c>
      <c r="F9" s="2" t="s">
        <v>220</v>
      </c>
    </row>
    <row r="10" customFormat="false" ht="15" hidden="false" customHeight="false" outlineLevel="0" collapsed="false">
      <c r="A10" s="14" t="s">
        <v>221</v>
      </c>
      <c r="C10" s="49" t="n">
        <f aca="false">Scenarios!H15</f>
        <v>1</v>
      </c>
      <c r="F10" s="2" t="s">
        <v>222</v>
      </c>
    </row>
    <row r="11" customFormat="false" ht="15" hidden="false" customHeight="false" outlineLevel="0" collapsed="false">
      <c r="A11" s="14" t="s">
        <v>125</v>
      </c>
      <c r="C11" s="47" t="n">
        <f aca="false">Scenarios!H16</f>
        <v>5000000</v>
      </c>
      <c r="F11" s="2" t="s">
        <v>223</v>
      </c>
    </row>
    <row r="12" customFormat="false" ht="15" hidden="false" customHeight="false" outlineLevel="0" collapsed="false">
      <c r="A12" s="14" t="s">
        <v>224</v>
      </c>
      <c r="C12" s="49" t="n">
        <f aca="false">Scenarios!H17</f>
        <v>4</v>
      </c>
      <c r="F12" s="2" t="s">
        <v>225</v>
      </c>
    </row>
    <row r="13" customFormat="false" ht="15" hidden="false" customHeight="false" outlineLevel="0" collapsed="false">
      <c r="A13" s="14" t="s">
        <v>130</v>
      </c>
      <c r="C13" s="49" t="n">
        <f aca="false">Scenarios!H18</f>
        <v>2023</v>
      </c>
      <c r="F13" s="2" t="s">
        <v>226</v>
      </c>
    </row>
    <row r="14" customFormat="false" ht="15" hidden="false" customHeight="false" outlineLevel="0" collapsed="false">
      <c r="A14" s="14" t="s">
        <v>133</v>
      </c>
      <c r="C14" s="48" t="n">
        <f aca="false">Scenarios!H19</f>
        <v>0</v>
      </c>
      <c r="F14" s="2" t="s">
        <v>227</v>
      </c>
    </row>
    <row r="15" customFormat="false" ht="15" hidden="false" customHeight="false" outlineLevel="0" collapsed="false">
      <c r="A15" s="14" t="s">
        <v>228</v>
      </c>
      <c r="C15" s="47" t="n">
        <f aca="false">Scenarios!H20</f>
        <v>210954</v>
      </c>
      <c r="F15" s="2" t="s">
        <v>229</v>
      </c>
    </row>
    <row r="16" customFormat="false" ht="15" hidden="false" customHeight="false" outlineLevel="0" collapsed="false">
      <c r="A16" s="14" t="s">
        <v>138</v>
      </c>
      <c r="C16" s="48" t="n">
        <f aca="false">Scenarios!H21</f>
        <v>0.06</v>
      </c>
      <c r="F16" s="2" t="s">
        <v>230</v>
      </c>
    </row>
    <row r="17" customFormat="false" ht="15" hidden="false" customHeight="false" outlineLevel="0" collapsed="false">
      <c r="A17" s="14" t="s">
        <v>231</v>
      </c>
      <c r="C17" s="50" t="n">
        <f aca="false">Scenarios!H22</f>
        <v>3</v>
      </c>
      <c r="F17" s="2" t="s">
        <v>232</v>
      </c>
    </row>
    <row r="19" customFormat="false" ht="15" hidden="false" customHeight="false" outlineLevel="0" collapsed="false">
      <c r="A19" s="10" t="s">
        <v>233</v>
      </c>
      <c r="B19" s="11"/>
      <c r="C19" s="11"/>
      <c r="D19" s="11"/>
      <c r="E19" s="11"/>
      <c r="F19" s="11"/>
    </row>
    <row r="20" customFormat="false" ht="15" hidden="false" customHeight="false" outlineLevel="0" collapsed="false">
      <c r="A20" s="31" t="s">
        <v>9</v>
      </c>
      <c r="B20" s="51" t="s">
        <v>234</v>
      </c>
      <c r="C20" s="22" t="s">
        <v>235</v>
      </c>
      <c r="D20" s="22" t="s">
        <v>236</v>
      </c>
      <c r="E20" s="22" t="s">
        <v>237</v>
      </c>
      <c r="F20" s="31" t="s">
        <v>238</v>
      </c>
    </row>
    <row r="21" customFormat="false" ht="15" hidden="false" customHeight="false" outlineLevel="0" collapsed="false">
      <c r="A21" s="2" t="s">
        <v>239</v>
      </c>
      <c r="B21" s="52" t="n">
        <v>2025</v>
      </c>
      <c r="C21" s="53" t="n">
        <f aca="false">B21+1</f>
        <v>2026</v>
      </c>
      <c r="D21" s="53" t="n">
        <f aca="false">C21+1</f>
        <v>2027</v>
      </c>
      <c r="E21" s="53" t="n">
        <f aca="false">D21+1</f>
        <v>2028</v>
      </c>
    </row>
    <row r="22" customFormat="false" ht="15" hidden="false" customHeight="false" outlineLevel="0" collapsed="false">
      <c r="A22" s="23" t="s">
        <v>44</v>
      </c>
      <c r="B22" s="24"/>
      <c r="C22" s="24"/>
      <c r="D22" s="24"/>
      <c r="E22" s="24"/>
      <c r="F22" s="24"/>
    </row>
    <row r="23" customFormat="false" ht="15" hidden="false" customHeight="false" outlineLevel="0" collapsed="false">
      <c r="A23" s="14" t="s">
        <v>240</v>
      </c>
      <c r="B23" s="54" t="n">
        <f aca="false">Inputs!G14-Inputs!G13</f>
        <v>5203863</v>
      </c>
      <c r="C23" s="27" t="n">
        <f aca="false">$C$6*(1+$C$7)^(C$21-$B$21)</f>
        <v>5359978.89</v>
      </c>
      <c r="D23" s="27" t="n">
        <f aca="false">$C$6*(1+$C$7)^(D$21-$B$21)</f>
        <v>5520778.2567</v>
      </c>
      <c r="E23" s="27" t="n">
        <f aca="false">$C$6*(1+$C$7)^(E$21-$B$21)</f>
        <v>5686401.604401</v>
      </c>
      <c r="F23" s="2" t="s">
        <v>241</v>
      </c>
    </row>
    <row r="24" customFormat="false" ht="15" hidden="false" customHeight="false" outlineLevel="0" collapsed="false">
      <c r="A24" s="14" t="s">
        <v>22</v>
      </c>
      <c r="B24" s="54" t="n">
        <f aca="false">Inputs!G13</f>
        <v>989248</v>
      </c>
      <c r="C24" s="27" t="n">
        <f aca="false">$C$8*(1+$C$9)^(C$21-$B$21)</f>
        <v>989248</v>
      </c>
      <c r="D24" s="27" t="n">
        <f aca="false">$C$8*(1+$C$9)^(D$21-$B$21)</f>
        <v>989248</v>
      </c>
      <c r="E24" s="27" t="n">
        <f aca="false">$C$8*(1+$C$9)^(E$21-$B$21)</f>
        <v>989248</v>
      </c>
      <c r="F24" s="2" t="s">
        <v>242</v>
      </c>
    </row>
    <row r="25" customFormat="false" ht="15" hidden="false" customHeight="false" outlineLevel="0" collapsed="false">
      <c r="A25" s="14" t="s">
        <v>243</v>
      </c>
      <c r="B25" s="54" t="n">
        <f aca="false">Inputs!G16</f>
        <v>560000</v>
      </c>
      <c r="C25" s="27" t="n">
        <f aca="false">$B$25*(1+$C$14)^(C$21-$B$21)</f>
        <v>560000</v>
      </c>
      <c r="D25" s="27" t="n">
        <f aca="false">$B$25*(1+$C$14)^(D$21-$B$21)</f>
        <v>560000</v>
      </c>
      <c r="E25" s="27" t="n">
        <f aca="false">$B$25*(1+$C$14)^(E$21-$B$21)</f>
        <v>560000</v>
      </c>
      <c r="F25" s="2" t="s">
        <v>244</v>
      </c>
    </row>
    <row r="26" customFormat="false" ht="15" hidden="false" customHeight="false" outlineLevel="0" collapsed="false">
      <c r="A26" s="14" t="s">
        <v>135</v>
      </c>
      <c r="B26" s="54" t="n">
        <f aca="false">Inputs!G18</f>
        <v>210954</v>
      </c>
      <c r="C26" s="27" t="n">
        <f aca="false">$C$15</f>
        <v>210954</v>
      </c>
      <c r="D26" s="27" t="n">
        <f aca="false">$C$15</f>
        <v>210954</v>
      </c>
      <c r="E26" s="27" t="n">
        <f aca="false">$C$15</f>
        <v>210954</v>
      </c>
      <c r="F26" s="2" t="s">
        <v>245</v>
      </c>
    </row>
    <row r="27" customFormat="false" ht="15" hidden="false" customHeight="false" outlineLevel="0" collapsed="false">
      <c r="A27" s="12" t="s">
        <v>246</v>
      </c>
      <c r="B27" s="55" t="n">
        <f aca="false">SUM(B23:B26)</f>
        <v>6964065</v>
      </c>
      <c r="C27" s="28" t="n">
        <f aca="false">SUM(C23:C26)</f>
        <v>7120180.89</v>
      </c>
      <c r="D27" s="28" t="n">
        <f aca="false">SUM(D23:D26)</f>
        <v>7280980.2567</v>
      </c>
      <c r="E27" s="28" t="n">
        <f aca="false">SUM(E23:E26)</f>
        <v>7446603.604401</v>
      </c>
      <c r="F27" s="2" t="s">
        <v>247</v>
      </c>
    </row>
    <row r="28" customFormat="false" ht="15" hidden="false" customHeight="false" outlineLevel="0" collapsed="false">
      <c r="A28" s="14" t="s">
        <v>248</v>
      </c>
      <c r="B28" s="56" t="n">
        <v>0</v>
      </c>
      <c r="C28" s="27" t="n">
        <f aca="false">IF(AND($C$10=1,MOD(C$21-$C$13,$C$12)=0),$C$11,0)</f>
        <v>0</v>
      </c>
      <c r="D28" s="27" t="n">
        <f aca="false">IF(AND($C$10=1,MOD(D$21-$C$13,$C$12)=0),$C$11,0)</f>
        <v>5000000</v>
      </c>
      <c r="E28" s="27" t="n">
        <f aca="false">IF(AND($C$10=1,MOD(E$21-$C$13,$C$12)=0),$C$11,0)</f>
        <v>0</v>
      </c>
      <c r="F28" s="2" t="s">
        <v>249</v>
      </c>
    </row>
    <row r="29" customFormat="false" ht="15" hidden="false" customHeight="false" outlineLevel="0" collapsed="false">
      <c r="A29" s="12" t="s">
        <v>250</v>
      </c>
      <c r="B29" s="55" t="n">
        <f aca="false">B27+B28</f>
        <v>6964065</v>
      </c>
      <c r="C29" s="28" t="n">
        <f aca="false">C27+C28</f>
        <v>7120180.89</v>
      </c>
      <c r="D29" s="28" t="n">
        <f aca="false">D27+D28</f>
        <v>12280980.2567</v>
      </c>
      <c r="E29" s="28" t="n">
        <f aca="false">E27+E28</f>
        <v>7446603.604401</v>
      </c>
      <c r="F29" s="2" t="s">
        <v>251</v>
      </c>
    </row>
    <row r="30" customFormat="false" ht="15" hidden="false" customHeight="false" outlineLevel="0" collapsed="false">
      <c r="A30" s="23" t="s">
        <v>61</v>
      </c>
      <c r="B30" s="24"/>
      <c r="C30" s="24"/>
      <c r="D30" s="24"/>
      <c r="E30" s="24"/>
      <c r="F30" s="24"/>
    </row>
    <row r="31" customFormat="false" ht="15" hidden="false" customHeight="false" outlineLevel="0" collapsed="false">
      <c r="A31" s="12" t="s">
        <v>19</v>
      </c>
      <c r="B31" s="57" t="n">
        <f aca="false">Inputs!G24</f>
        <v>8074019</v>
      </c>
      <c r="C31" s="28" t="n">
        <f aca="false">B31*(1+$C$16)</f>
        <v>8558460.14</v>
      </c>
      <c r="D31" s="28" t="n">
        <f aca="false">C31*(1+$C$16)</f>
        <v>9071967.7484</v>
      </c>
      <c r="E31" s="28" t="n">
        <f aca="false">D31*(1+$C$16)</f>
        <v>9616285.813304</v>
      </c>
      <c r="F31" s="2" t="s">
        <v>252</v>
      </c>
    </row>
    <row r="32" customFormat="false" ht="15" hidden="false" customHeight="false" outlineLevel="0" collapsed="false">
      <c r="A32" s="23" t="s">
        <v>253</v>
      </c>
      <c r="B32" s="24"/>
      <c r="C32" s="24"/>
      <c r="D32" s="24"/>
      <c r="E32" s="24"/>
      <c r="F32" s="24"/>
    </row>
    <row r="33" customFormat="false" ht="15" hidden="false" customHeight="false" outlineLevel="0" collapsed="false">
      <c r="A33" s="12" t="s">
        <v>254</v>
      </c>
      <c r="B33" s="55" t="n">
        <f aca="false">B27-B31</f>
        <v>-1109954</v>
      </c>
      <c r="C33" s="28" t="n">
        <f aca="false">C27-C31</f>
        <v>-1438279.25</v>
      </c>
      <c r="D33" s="28" t="n">
        <f aca="false">D27-D31</f>
        <v>-1790987.4917</v>
      </c>
      <c r="E33" s="28" t="n">
        <f aca="false">E27-E31</f>
        <v>-2169682.208903</v>
      </c>
      <c r="F33" s="26" t="s">
        <v>255</v>
      </c>
    </row>
    <row r="34" customFormat="false" ht="15" hidden="false" customHeight="false" outlineLevel="0" collapsed="false">
      <c r="A34" s="14" t="s">
        <v>256</v>
      </c>
      <c r="B34" s="56" t="n">
        <f aca="false">B29-B31</f>
        <v>-1109954</v>
      </c>
      <c r="C34" s="27" t="n">
        <f aca="false">C29-C31</f>
        <v>-1438279.25</v>
      </c>
      <c r="D34" s="27" t="n">
        <f aca="false">D29-D31</f>
        <v>3209012.5083</v>
      </c>
      <c r="E34" s="27" t="n">
        <f aca="false">E29-E31</f>
        <v>-2169682.208903</v>
      </c>
      <c r="F34" s="2" t="s">
        <v>257</v>
      </c>
    </row>
    <row r="35" customFormat="false" ht="15" hidden="false" customHeight="false" outlineLevel="0" collapsed="false">
      <c r="A35" s="14" t="s">
        <v>258</v>
      </c>
      <c r="B35" s="58" t="n">
        <f aca="false">B33/B27</f>
        <v>-0.159383061473435</v>
      </c>
      <c r="C35" s="41" t="n">
        <f aca="false">C33/C27</f>
        <v>-0.202000380639206</v>
      </c>
      <c r="D35" s="41" t="n">
        <f aca="false">D33/D27</f>
        <v>-0.245981643756268</v>
      </c>
      <c r="E35" s="41" t="n">
        <f aca="false">E33/E27</f>
        <v>-0.291365342398607</v>
      </c>
      <c r="F35" s="2" t="s">
        <v>259</v>
      </c>
    </row>
    <row r="36" customFormat="false" ht="15" hidden="false" customHeight="false" outlineLevel="0" collapsed="false">
      <c r="A36" s="23" t="s">
        <v>260</v>
      </c>
      <c r="B36" s="24"/>
      <c r="C36" s="24"/>
      <c r="D36" s="24"/>
      <c r="E36" s="24"/>
      <c r="F36" s="24"/>
    </row>
    <row r="37" customFormat="false" ht="15" hidden="false" customHeight="false" outlineLevel="0" collapsed="false">
      <c r="A37" s="14" t="s">
        <v>261</v>
      </c>
      <c r="B37" s="59"/>
      <c r="C37" s="27" t="n">
        <f aca="false">B39</f>
        <v>6396696</v>
      </c>
      <c r="D37" s="27" t="n">
        <f aca="false">C39</f>
        <v>4958416.75</v>
      </c>
      <c r="E37" s="27" t="n">
        <f aca="false">D39</f>
        <v>4417429.2583</v>
      </c>
      <c r="F37" s="2" t="s">
        <v>262</v>
      </c>
    </row>
    <row r="38" customFormat="false" ht="15" hidden="false" customHeight="false" outlineLevel="0" collapsed="false">
      <c r="A38" s="14" t="s">
        <v>263</v>
      </c>
      <c r="B38" s="59"/>
      <c r="C38" s="27" t="n">
        <f aca="false">SUMPRODUCT($C$28:C28*((C$21-$C$21:C$21)&lt;$C$12))/$C$12</f>
        <v>0</v>
      </c>
      <c r="D38" s="27" t="n">
        <f aca="false">SUMPRODUCT($C$28:D28*((D$21-$C$21:D$21)&lt;$C$12))/$C$12</f>
        <v>1250000</v>
      </c>
      <c r="E38" s="27" t="n">
        <f aca="false">SUMPRODUCT($C$28:E28*((E$21-$C$21:E$21)&lt;$C$12))/$C$12</f>
        <v>1250000</v>
      </c>
      <c r="F38" s="2" t="s">
        <v>264</v>
      </c>
    </row>
    <row r="39" customFormat="false" ht="15" hidden="false" customHeight="false" outlineLevel="0" collapsed="false">
      <c r="A39" s="12" t="s">
        <v>265</v>
      </c>
      <c r="B39" s="57" t="n">
        <f aca="false">Inputs!G36</f>
        <v>6396696</v>
      </c>
      <c r="C39" s="28" t="n">
        <f aca="false">C37+C33+C38</f>
        <v>4958416.75</v>
      </c>
      <c r="D39" s="28" t="n">
        <f aca="false">D37+D33+D38</f>
        <v>4417429.2583</v>
      </c>
      <c r="E39" s="28" t="n">
        <f aca="false">E37+E33+E38</f>
        <v>3497747.049397</v>
      </c>
      <c r="F39" s="2" t="s">
        <v>266</v>
      </c>
    </row>
    <row r="40" customFormat="false" ht="15" hidden="false" customHeight="false" outlineLevel="0" collapsed="false">
      <c r="A40" s="14" t="s">
        <v>182</v>
      </c>
      <c r="B40" s="56" t="n">
        <f aca="false">B31/12</f>
        <v>672834.916666667</v>
      </c>
      <c r="C40" s="27" t="n">
        <f aca="false">C31/12</f>
        <v>713205.011666667</v>
      </c>
      <c r="D40" s="27" t="n">
        <f aca="false">D31/12</f>
        <v>755997.312366667</v>
      </c>
      <c r="E40" s="27" t="n">
        <f aca="false">E31/12</f>
        <v>801357.151108667</v>
      </c>
      <c r="F40" s="2" t="s">
        <v>183</v>
      </c>
    </row>
    <row r="41" customFormat="false" ht="15" hidden="false" customHeight="false" outlineLevel="0" collapsed="false">
      <c r="A41" s="12" t="s">
        <v>20</v>
      </c>
      <c r="B41" s="60" t="n">
        <f aca="false">B39/B40</f>
        <v>9.5070809221529</v>
      </c>
      <c r="C41" s="61" t="n">
        <f aca="false">C39/C40</f>
        <v>6.95230216962838</v>
      </c>
      <c r="D41" s="61" t="n">
        <f aca="false">D39/D40</f>
        <v>5.84318116749799</v>
      </c>
      <c r="E41" s="61" t="n">
        <f aca="false">E39/E40</f>
        <v>4.3647792305315</v>
      </c>
      <c r="F41" s="26" t="s">
        <v>267</v>
      </c>
    </row>
    <row r="42" customFormat="false" ht="15" hidden="false" customHeight="false" outlineLevel="0" collapsed="false">
      <c r="A42" s="14" t="s">
        <v>268</v>
      </c>
      <c r="B42" s="62" t="n">
        <f aca="false">B41-$C$17</f>
        <v>6.5070809221529</v>
      </c>
      <c r="C42" s="45" t="n">
        <f aca="false">C41-$C$17</f>
        <v>3.95230216962838</v>
      </c>
      <c r="D42" s="45" t="n">
        <f aca="false">D41-$C$17</f>
        <v>2.84318116749799</v>
      </c>
      <c r="E42" s="45" t="n">
        <f aca="false">E41-$C$17</f>
        <v>1.36477923053149</v>
      </c>
      <c r="F42" s="2" t="s">
        <v>269</v>
      </c>
    </row>
    <row r="43" customFormat="false" ht="15" hidden="false" customHeight="false" outlineLevel="0" collapsed="false">
      <c r="A43" s="14" t="s">
        <v>270</v>
      </c>
      <c r="B43" s="63" t="str">
        <f aca="false">IF(B41&lt;$C$17,"BELOW FLOOR","OK")</f>
        <v>OK</v>
      </c>
      <c r="C43" s="19" t="str">
        <f aca="false">IF(C41&lt;$C$17,"BELOW FLOOR","OK")</f>
        <v>OK</v>
      </c>
      <c r="D43" s="19" t="str">
        <f aca="false">IF(D41&lt;$C$17,"BELOW FLOOR","OK")</f>
        <v>OK</v>
      </c>
      <c r="E43" s="19" t="str">
        <f aca="false">IF(E41&lt;$C$17,"BELOW FLOOR","OK")</f>
        <v>OK</v>
      </c>
      <c r="F43" s="2"/>
    </row>
    <row r="45" customFormat="false" ht="15" hidden="false" customHeight="false" outlineLevel="0" collapsed="false">
      <c r="A45" s="10" t="s">
        <v>271</v>
      </c>
      <c r="B45" s="11"/>
      <c r="C45" s="11"/>
      <c r="D45" s="11"/>
      <c r="E45" s="11"/>
      <c r="F45" s="11"/>
    </row>
    <row r="46" customFormat="false" ht="15" hidden="false" customHeight="false" outlineLevel="0" collapsed="false">
      <c r="A46" s="14" t="s">
        <v>272</v>
      </c>
      <c r="C46" s="28" t="n">
        <f aca="false">E39</f>
        <v>3497747.049397</v>
      </c>
    </row>
    <row r="47" customFormat="false" ht="15" hidden="false" customHeight="false" outlineLevel="0" collapsed="false">
      <c r="A47" s="14" t="s">
        <v>273</v>
      </c>
      <c r="C47" s="61" t="n">
        <f aca="false">E41</f>
        <v>4.3647792305315</v>
      </c>
    </row>
    <row r="48" customFormat="false" ht="15" hidden="false" customHeight="false" outlineLevel="0" collapsed="false">
      <c r="A48" s="14" t="s">
        <v>274</v>
      </c>
      <c r="C48" s="64" t="str">
        <f aca="false">IFERROR(INDEX(C20:E20,MATCH("BELOW FLOOR",C43:E43,0)),"Not within FY2026-FY2028")</f>
        <v>Not within FY2026-FY2028</v>
      </c>
    </row>
    <row r="49" customFormat="false" ht="15" hidden="false" customHeight="false" outlineLevel="0" collapsed="false">
      <c r="A49" s="14" t="s">
        <v>275</v>
      </c>
      <c r="C49" s="28" t="n">
        <f aca="false">SUM(C33:E33)</f>
        <v>-5398948.950603</v>
      </c>
    </row>
    <row r="50" customFormat="false" ht="15" hidden="false" customHeight="false" outlineLevel="0" collapsed="false">
      <c r="A50" s="14" t="s">
        <v>276</v>
      </c>
      <c r="C50" s="64" t="str">
        <f aca="false">IF(ABS(B29-Inputs!G17)&lt;=1,"OK","CHECK")</f>
        <v>OK</v>
      </c>
    </row>
    <row r="52" customFormat="false" ht="15" hidden="false" customHeight="false" outlineLevel="0" collapsed="false">
      <c r="A52" s="2" t="s">
        <v>277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8" min="3" style="0" width="16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278</v>
      </c>
    </row>
    <row r="4" customFormat="false" ht="15" hidden="false" customHeight="false" outlineLevel="0" collapsed="false">
      <c r="A4" s="10" t="s">
        <v>279</v>
      </c>
      <c r="B4" s="11"/>
      <c r="C4" s="11"/>
      <c r="D4" s="11"/>
      <c r="E4" s="11"/>
      <c r="F4" s="11"/>
      <c r="G4" s="11"/>
      <c r="H4" s="11"/>
      <c r="I4" s="11"/>
    </row>
    <row r="5" customFormat="false" ht="15" hidden="false" customHeight="false" outlineLevel="0" collapsed="false">
      <c r="A5" s="12" t="s">
        <v>280</v>
      </c>
      <c r="C5" s="65" t="s">
        <v>281</v>
      </c>
      <c r="D5" s="2" t="s">
        <v>282</v>
      </c>
    </row>
    <row r="6" customFormat="false" ht="15" hidden="false" customHeight="false" outlineLevel="0" collapsed="false">
      <c r="A6" s="2" t="s">
        <v>283</v>
      </c>
      <c r="C6" s="53" t="n">
        <f aca="false">MATCH(C5,C9:G9,0)</f>
        <v>1</v>
      </c>
    </row>
    <row r="8" customFormat="false" ht="15" hidden="false" customHeight="false" outlineLevel="0" collapsed="false">
      <c r="A8" s="10" t="s">
        <v>284</v>
      </c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31" t="s">
        <v>107</v>
      </c>
      <c r="B9" s="32"/>
      <c r="C9" s="22" t="s">
        <v>281</v>
      </c>
      <c r="D9" s="22" t="s">
        <v>285</v>
      </c>
      <c r="E9" s="22" t="s">
        <v>286</v>
      </c>
      <c r="F9" s="22" t="s">
        <v>287</v>
      </c>
      <c r="G9" s="22" t="s">
        <v>288</v>
      </c>
      <c r="H9" s="66" t="s">
        <v>289</v>
      </c>
      <c r="I9" s="31" t="s">
        <v>290</v>
      </c>
    </row>
    <row r="10" customFormat="false" ht="39.75" hidden="false" customHeight="true" outlineLevel="0" collapsed="false">
      <c r="A10" s="2" t="s">
        <v>291</v>
      </c>
      <c r="C10" s="67" t="s">
        <v>292</v>
      </c>
      <c r="D10" s="67" t="s">
        <v>293</v>
      </c>
      <c r="E10" s="67" t="s">
        <v>294</v>
      </c>
      <c r="F10" s="67" t="s">
        <v>295</v>
      </c>
      <c r="G10" s="67" t="s">
        <v>296</v>
      </c>
    </row>
    <row r="11" customFormat="false" ht="15" hidden="false" customHeight="false" outlineLevel="0" collapsed="false">
      <c r="A11" s="14" t="s">
        <v>111</v>
      </c>
      <c r="C11" s="47" t="n">
        <f aca="false">Inputs!C47</f>
        <v>5203863</v>
      </c>
      <c r="D11" s="47" t="n">
        <f aca="false">$C11</f>
        <v>5203863</v>
      </c>
      <c r="E11" s="47" t="n">
        <f aca="false">$C11</f>
        <v>5203863</v>
      </c>
      <c r="F11" s="47" t="n">
        <f aca="false">$C11</f>
        <v>5203863</v>
      </c>
      <c r="G11" s="47" t="n">
        <f aca="false">$C11</f>
        <v>5203863</v>
      </c>
      <c r="H11" s="68" t="n">
        <f aca="false">INDEX(C11:G11,$C$6)</f>
        <v>5203863</v>
      </c>
    </row>
    <row r="12" customFormat="false" ht="15" hidden="false" customHeight="false" outlineLevel="0" collapsed="false">
      <c r="A12" s="14" t="s">
        <v>115</v>
      </c>
      <c r="C12" s="48" t="n">
        <f aca="false">Inputs!C48</f>
        <v>0.03</v>
      </c>
      <c r="D12" s="48" t="n">
        <f aca="false">$C12</f>
        <v>0.03</v>
      </c>
      <c r="E12" s="48" t="n">
        <f aca="false">$C12</f>
        <v>0.03</v>
      </c>
      <c r="F12" s="48" t="n">
        <f aca="false">$C12</f>
        <v>0.03</v>
      </c>
      <c r="G12" s="48" t="n">
        <f aca="false">$C12</f>
        <v>0.03</v>
      </c>
      <c r="H12" s="69" t="n">
        <f aca="false">INDEX(C12:G12,$C$6)</f>
        <v>0.03</v>
      </c>
    </row>
    <row r="13" customFormat="false" ht="15" hidden="false" customHeight="false" outlineLevel="0" collapsed="false">
      <c r="A13" s="14" t="s">
        <v>118</v>
      </c>
      <c r="C13" s="47" t="n">
        <f aca="false">Inputs!C49</f>
        <v>989248</v>
      </c>
      <c r="D13" s="47" t="n">
        <f aca="false">$C13</f>
        <v>989248</v>
      </c>
      <c r="E13" s="27" t="n">
        <f aca="false">$C13*(1-$C$24)</f>
        <v>494624</v>
      </c>
      <c r="F13" s="47" t="n">
        <f aca="false">$C13</f>
        <v>989248</v>
      </c>
      <c r="G13" s="27" t="n">
        <f aca="false">$C13*(1-$C$24)</f>
        <v>494624</v>
      </c>
      <c r="H13" s="68" t="n">
        <f aca="false">INDEX(C13:G13,$C$6)</f>
        <v>989248</v>
      </c>
      <c r="I13" s="2" t="s">
        <v>297</v>
      </c>
    </row>
    <row r="14" customFormat="false" ht="15" hidden="false" customHeight="false" outlineLevel="0" collapsed="false">
      <c r="A14" s="14" t="s">
        <v>120</v>
      </c>
      <c r="C14" s="48" t="n">
        <f aca="false">Inputs!C50</f>
        <v>0</v>
      </c>
      <c r="D14" s="48" t="n">
        <f aca="false">$C14</f>
        <v>0</v>
      </c>
      <c r="E14" s="48" t="n">
        <f aca="false">$C14</f>
        <v>0</v>
      </c>
      <c r="F14" s="48" t="n">
        <f aca="false">$C14</f>
        <v>0</v>
      </c>
      <c r="G14" s="48" t="n">
        <f aca="false">$C14</f>
        <v>0</v>
      </c>
      <c r="H14" s="69" t="n">
        <f aca="false">INDEX(C14:G14,$C$6)</f>
        <v>0</v>
      </c>
    </row>
    <row r="15" customFormat="false" ht="15" hidden="false" customHeight="false" outlineLevel="0" collapsed="false">
      <c r="A15" s="14" t="s">
        <v>221</v>
      </c>
      <c r="C15" s="49" t="n">
        <f aca="false">Inputs!C51</f>
        <v>1</v>
      </c>
      <c r="D15" s="70" t="n">
        <v>0</v>
      </c>
      <c r="E15" s="49" t="n">
        <f aca="false">$C15</f>
        <v>1</v>
      </c>
      <c r="F15" s="49" t="n">
        <f aca="false">$C15</f>
        <v>1</v>
      </c>
      <c r="G15" s="70" t="n">
        <v>0</v>
      </c>
      <c r="H15" s="71" t="n">
        <f aca="false">INDEX(C15:G15,$C$6)</f>
        <v>1</v>
      </c>
      <c r="I15" s="2" t="s">
        <v>298</v>
      </c>
    </row>
    <row r="16" customFormat="false" ht="15" hidden="false" customHeight="false" outlineLevel="0" collapsed="false">
      <c r="A16" s="14" t="s">
        <v>125</v>
      </c>
      <c r="C16" s="47" t="n">
        <f aca="false">Inputs!C52</f>
        <v>5000000</v>
      </c>
      <c r="D16" s="47" t="n">
        <f aca="false">$C16</f>
        <v>5000000</v>
      </c>
      <c r="E16" s="47" t="n">
        <f aca="false">$C16</f>
        <v>5000000</v>
      </c>
      <c r="F16" s="47" t="n">
        <f aca="false">$C16</f>
        <v>5000000</v>
      </c>
      <c r="G16" s="47" t="n">
        <f aca="false">$C16</f>
        <v>5000000</v>
      </c>
      <c r="H16" s="68" t="n">
        <f aca="false">INDEX(C16:G16,$C$6)</f>
        <v>5000000</v>
      </c>
    </row>
    <row r="17" customFormat="false" ht="15" hidden="false" customHeight="false" outlineLevel="0" collapsed="false">
      <c r="A17" s="14" t="s">
        <v>299</v>
      </c>
      <c r="C17" s="49" t="n">
        <f aca="false">Inputs!C53</f>
        <v>4</v>
      </c>
      <c r="D17" s="49" t="n">
        <f aca="false">$C17</f>
        <v>4</v>
      </c>
      <c r="E17" s="49" t="n">
        <f aca="false">$C17</f>
        <v>4</v>
      </c>
      <c r="F17" s="49" t="n">
        <f aca="false">$C17</f>
        <v>4</v>
      </c>
      <c r="G17" s="49" t="n">
        <f aca="false">$C17</f>
        <v>4</v>
      </c>
      <c r="H17" s="71" t="n">
        <f aca="false">INDEX(C17:G17,$C$6)</f>
        <v>4</v>
      </c>
    </row>
    <row r="18" customFormat="false" ht="15" hidden="false" customHeight="false" outlineLevel="0" collapsed="false">
      <c r="A18" s="14" t="s">
        <v>130</v>
      </c>
      <c r="C18" s="49" t="n">
        <f aca="false">Inputs!C54</f>
        <v>2023</v>
      </c>
      <c r="D18" s="49" t="n">
        <f aca="false">$C18</f>
        <v>2023</v>
      </c>
      <c r="E18" s="49" t="n">
        <f aca="false">$C18</f>
        <v>2023</v>
      </c>
      <c r="F18" s="49" t="n">
        <f aca="false">$C18</f>
        <v>2023</v>
      </c>
      <c r="G18" s="49" t="n">
        <f aca="false">$C18</f>
        <v>2023</v>
      </c>
      <c r="H18" s="71" t="n">
        <f aca="false">INDEX(C18:G18,$C$6)</f>
        <v>2023</v>
      </c>
    </row>
    <row r="19" customFormat="false" ht="15" hidden="false" customHeight="false" outlineLevel="0" collapsed="false">
      <c r="A19" s="14" t="s">
        <v>133</v>
      </c>
      <c r="C19" s="48" t="n">
        <f aca="false">Inputs!C55</f>
        <v>0</v>
      </c>
      <c r="D19" s="48" t="n">
        <f aca="false">$C19</f>
        <v>0</v>
      </c>
      <c r="E19" s="48" t="n">
        <f aca="false">$C19</f>
        <v>0</v>
      </c>
      <c r="F19" s="48" t="n">
        <f aca="false">$C19</f>
        <v>0</v>
      </c>
      <c r="G19" s="48" t="n">
        <f aca="false">$C19</f>
        <v>0</v>
      </c>
      <c r="H19" s="69" t="n">
        <f aca="false">INDEX(C19:G19,$C$6)</f>
        <v>0</v>
      </c>
    </row>
    <row r="20" customFormat="false" ht="15" hidden="false" customHeight="false" outlineLevel="0" collapsed="false">
      <c r="A20" s="14" t="s">
        <v>228</v>
      </c>
      <c r="C20" s="47" t="n">
        <f aca="false">Inputs!C56</f>
        <v>210954</v>
      </c>
      <c r="D20" s="47" t="n">
        <f aca="false">$C20</f>
        <v>210954</v>
      </c>
      <c r="E20" s="47" t="n">
        <f aca="false">$C20</f>
        <v>210954</v>
      </c>
      <c r="F20" s="47" t="n">
        <f aca="false">$C20</f>
        <v>210954</v>
      </c>
      <c r="G20" s="47" t="n">
        <f aca="false">$C20</f>
        <v>210954</v>
      </c>
      <c r="H20" s="68" t="n">
        <f aca="false">INDEX(C20:G20,$C$6)</f>
        <v>210954</v>
      </c>
    </row>
    <row r="21" customFormat="false" ht="15" hidden="false" customHeight="false" outlineLevel="0" collapsed="false">
      <c r="A21" s="14" t="s">
        <v>138</v>
      </c>
      <c r="C21" s="48" t="n">
        <f aca="false">Inputs!C57</f>
        <v>0.06</v>
      </c>
      <c r="D21" s="48" t="n">
        <f aca="false">$C21</f>
        <v>0.06</v>
      </c>
      <c r="E21" s="48" t="n">
        <f aca="false">$C21</f>
        <v>0.06</v>
      </c>
      <c r="F21" s="72" t="n">
        <v>0.03</v>
      </c>
      <c r="G21" s="48" t="n">
        <f aca="false">$C21</f>
        <v>0.06</v>
      </c>
      <c r="H21" s="69" t="n">
        <f aca="false">INDEX(C21:G21,$C$6)</f>
        <v>0.06</v>
      </c>
      <c r="I21" s="2" t="s">
        <v>300</v>
      </c>
    </row>
    <row r="22" customFormat="false" ht="15" hidden="false" customHeight="false" outlineLevel="0" collapsed="false">
      <c r="A22" s="14" t="s">
        <v>231</v>
      </c>
      <c r="C22" s="50" t="n">
        <f aca="false">Inputs!C59</f>
        <v>3</v>
      </c>
      <c r="D22" s="50" t="n">
        <f aca="false">$C22</f>
        <v>3</v>
      </c>
      <c r="E22" s="50" t="n">
        <f aca="false">$C22</f>
        <v>3</v>
      </c>
      <c r="F22" s="50" t="n">
        <f aca="false">$C22</f>
        <v>3</v>
      </c>
      <c r="G22" s="50" t="n">
        <f aca="false">$C22</f>
        <v>3</v>
      </c>
      <c r="H22" s="73" t="n">
        <f aca="false">INDEX(C22:G22,$C$6)</f>
        <v>3</v>
      </c>
    </row>
    <row r="24" customFormat="false" ht="15" hidden="false" customHeight="false" outlineLevel="0" collapsed="false">
      <c r="A24" s="12" t="s">
        <v>301</v>
      </c>
      <c r="C24" s="72" t="n">
        <v>0.5</v>
      </c>
      <c r="D24" s="2" t="s">
        <v>302</v>
      </c>
    </row>
    <row r="26" customFormat="false" ht="15" hidden="false" customHeight="false" outlineLevel="0" collapsed="false">
      <c r="A26" s="10" t="s">
        <v>303</v>
      </c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false" outlineLevel="0" collapsed="false">
      <c r="A27" s="31" t="s">
        <v>149</v>
      </c>
      <c r="B27" s="32"/>
      <c r="C27" s="22" t="str">
        <f aca="false">C9</f>
        <v>Base</v>
      </c>
      <c r="D27" s="22" t="str">
        <f aca="false">D9</f>
        <v>No major gift</v>
      </c>
      <c r="E27" s="22" t="str">
        <f aca="false">E9</f>
        <v>Government cut</v>
      </c>
      <c r="F27" s="22" t="str">
        <f aca="false">F9</f>
        <v>Cost discipline</v>
      </c>
      <c r="G27" s="22" t="str">
        <f aca="false">G9</f>
        <v>Combined shock</v>
      </c>
      <c r="H27" s="32"/>
      <c r="I27" s="31" t="s">
        <v>304</v>
      </c>
    </row>
    <row r="28" customFormat="false" ht="15" hidden="false" customHeight="false" outlineLevel="0" collapsed="false">
      <c r="A28" s="14" t="s">
        <v>305</v>
      </c>
      <c r="C28" s="27" t="n">
        <f aca="false">E48</f>
        <v>3497747.049397</v>
      </c>
      <c r="D28" s="27" t="n">
        <f aca="false">E58</f>
        <v>997747.049396997</v>
      </c>
      <c r="E28" s="27" t="n">
        <f aca="false">E68</f>
        <v>2013875.049397</v>
      </c>
      <c r="F28" s="27" t="n">
        <f aca="false">E78</f>
        <v>5039795.864188</v>
      </c>
      <c r="G28" s="27" t="n">
        <f aca="false">E88</f>
        <v>-486124.950603003</v>
      </c>
      <c r="I28" s="2" t="s">
        <v>306</v>
      </c>
    </row>
    <row r="29" customFormat="false" ht="15" hidden="false" customHeight="false" outlineLevel="0" collapsed="false">
      <c r="A29" s="12" t="s">
        <v>307</v>
      </c>
      <c r="C29" s="61" t="n">
        <f aca="false">E49</f>
        <v>4.3647792305315</v>
      </c>
      <c r="D29" s="61" t="n">
        <f aca="false">E59</f>
        <v>1.24507162382794</v>
      </c>
      <c r="E29" s="61" t="n">
        <f aca="false">E69</f>
        <v>2.51308052422173</v>
      </c>
      <c r="F29" s="61" t="n">
        <f aca="false">E79</f>
        <v>6.85476784231625</v>
      </c>
      <c r="G29" s="61" t="n">
        <f aca="false">E89</f>
        <v>-0.606627082481832</v>
      </c>
      <c r="I29" s="26" t="s">
        <v>308</v>
      </c>
    </row>
    <row r="30" customFormat="false" ht="15" hidden="false" customHeight="false" outlineLevel="0" collapsed="false">
      <c r="A30" s="14" t="s">
        <v>309</v>
      </c>
      <c r="C30" s="45" t="n">
        <f aca="false">MIN(C49:E49)</f>
        <v>4.3647792305315</v>
      </c>
      <c r="D30" s="45" t="n">
        <f aca="false">MIN(C59:E59)</f>
        <v>1.24507162382794</v>
      </c>
      <c r="E30" s="45" t="n">
        <f aca="false">MIN(C69:E69)</f>
        <v>2.51308052422173</v>
      </c>
      <c r="F30" s="45" t="n">
        <f aca="false">MIN(C79:E79)</f>
        <v>6.85476784231625</v>
      </c>
      <c r="G30" s="45" t="n">
        <f aca="false">MIN(C89:E89)</f>
        <v>-0.606627082481832</v>
      </c>
      <c r="I30" s="2"/>
    </row>
    <row r="31" customFormat="false" ht="15" hidden="false" customHeight="false" outlineLevel="0" collapsed="false">
      <c r="A31" s="14" t="s">
        <v>274</v>
      </c>
      <c r="C31" s="19" t="str">
        <f aca="false">IFERROR("FY"&amp;INDEX($C$40:$E$40,MATCH("BELOW",C50:E50,0)),"None")</f>
        <v>None</v>
      </c>
      <c r="D31" s="19" t="str">
        <f aca="false">IFERROR("FY"&amp;INDEX($C$40:$E$40,MATCH("BELOW",C60:E60,0)),"None")</f>
        <v>FY2028</v>
      </c>
      <c r="E31" s="19" t="str">
        <f aca="false">IFERROR("FY"&amp;INDEX($C$40:$E$40,MATCH("BELOW",C70:E70,0)),"None")</f>
        <v>FY2028</v>
      </c>
      <c r="F31" s="19" t="str">
        <f aca="false">IFERROR("FY"&amp;INDEX($C$40:$E$40,MATCH("BELOW",C80:E80,0)),"None")</f>
        <v>None</v>
      </c>
      <c r="G31" s="19" t="str">
        <f aca="false">IFERROR("FY"&amp;INDEX($C$40:$E$40,MATCH("BELOW",C90:E90,0)),"None")</f>
        <v>FY2027</v>
      </c>
      <c r="I31" s="2" t="s">
        <v>310</v>
      </c>
    </row>
    <row r="32" customFormat="false" ht="15" hidden="false" customHeight="false" outlineLevel="0" collapsed="false">
      <c r="A32" s="14" t="s">
        <v>275</v>
      </c>
      <c r="C32" s="27" t="n">
        <f aca="false">SUM(C46:E46)</f>
        <v>-5398948.950603</v>
      </c>
      <c r="D32" s="27" t="n">
        <f aca="false">SUM(C56:E56)</f>
        <v>-5398948.950603</v>
      </c>
      <c r="E32" s="27" t="n">
        <f aca="false">SUM(C66:E66)</f>
        <v>-6882820.950603</v>
      </c>
      <c r="F32" s="27" t="n">
        <f aca="false">SUM(C76:E76)</f>
        <v>-3856900.135812</v>
      </c>
      <c r="G32" s="27" t="n">
        <f aca="false">SUM(C86:E86)</f>
        <v>-6882820.950603</v>
      </c>
      <c r="I32" s="2" t="s">
        <v>311</v>
      </c>
    </row>
    <row r="33" customFormat="false" ht="15" hidden="false" customHeight="false" outlineLevel="0" collapsed="false">
      <c r="A33" s="12" t="s">
        <v>312</v>
      </c>
      <c r="C33" s="28" t="n">
        <f aca="false">-AVERAGE(C46:E46)*C$17</f>
        <v>7198598.600804</v>
      </c>
      <c r="D33" s="28" t="n">
        <f aca="false">-AVERAGE(C56:E56)*D$17</f>
        <v>7198598.600804</v>
      </c>
      <c r="E33" s="28" t="n">
        <f aca="false">-AVERAGE(C66:E66)*E$17</f>
        <v>9177094.600804</v>
      </c>
      <c r="F33" s="28" t="n">
        <f aca="false">-AVERAGE(C76:E76)*F$17</f>
        <v>5142533.514416</v>
      </c>
      <c r="G33" s="28" t="n">
        <f aca="false">-AVERAGE(C86:E86)*G$17</f>
        <v>9177094.600804</v>
      </c>
      <c r="I33" s="26" t="s">
        <v>313</v>
      </c>
    </row>
    <row r="34" customFormat="false" ht="15" hidden="false" customHeight="false" outlineLevel="0" collapsed="false">
      <c r="A34" s="14" t="s">
        <v>314</v>
      </c>
      <c r="C34" s="41" t="n">
        <f aca="false">-C46/C43</f>
        <v>0.202000380639206</v>
      </c>
      <c r="D34" s="41" t="n">
        <f aca="false">-C56/C53</f>
        <v>0.202000380639206</v>
      </c>
      <c r="E34" s="41" t="n">
        <f aca="false">-C66/C63</f>
        <v>0.291734458263779</v>
      </c>
      <c r="F34" s="41" t="n">
        <f aca="false">-C76/C73</f>
        <v>0.16798150194187</v>
      </c>
      <c r="G34" s="41" t="n">
        <f aca="false">-C86/C83</f>
        <v>0.291734458263779</v>
      </c>
      <c r="I34" s="2" t="s">
        <v>315</v>
      </c>
    </row>
    <row r="35" customFormat="false" ht="15" hidden="false" customHeight="false" outlineLevel="0" collapsed="false">
      <c r="A35" s="14" t="s">
        <v>316</v>
      </c>
      <c r="C35" s="13" t="str">
        <f aca="false">IF(AND(ABS(INDEX(C28:G28,$C$6)-Forecast!E39)&lt;=1,ABS(INDEX(C29:G29,$C$6)-Forecast!E41)&lt;0.01),"OK","CHECK")</f>
        <v>OK</v>
      </c>
    </row>
    <row r="38" customFormat="false" ht="15" hidden="false" customHeight="false" outlineLevel="0" collapsed="false">
      <c r="A38" s="10" t="s">
        <v>317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12" t="s">
        <v>9</v>
      </c>
      <c r="B39" s="13" t="s">
        <v>318</v>
      </c>
      <c r="C39" s="13" t="s">
        <v>235</v>
      </c>
      <c r="D39" s="13" t="s">
        <v>236</v>
      </c>
      <c r="E39" s="13" t="s">
        <v>237</v>
      </c>
    </row>
    <row r="40" customFormat="false" ht="15" hidden="false" customHeight="false" outlineLevel="0" collapsed="false">
      <c r="A40" s="2" t="s">
        <v>319</v>
      </c>
      <c r="B40" s="53" t="n">
        <v>2025</v>
      </c>
      <c r="C40" s="53" t="n">
        <v>2026</v>
      </c>
      <c r="D40" s="53" t="n">
        <v>2027</v>
      </c>
      <c r="E40" s="53" t="n">
        <v>2028</v>
      </c>
    </row>
    <row r="42" customFormat="false" ht="15" hidden="false" customHeight="false" outlineLevel="0" collapsed="false">
      <c r="A42" s="23" t="str">
        <f aca="false">C$9</f>
        <v>Base</v>
      </c>
      <c r="B42" s="24"/>
      <c r="C42" s="24"/>
      <c r="D42" s="24"/>
      <c r="E42" s="24"/>
    </row>
    <row r="43" customFormat="false" ht="15" hidden="false" customHeight="false" outlineLevel="0" collapsed="false">
      <c r="A43" s="14" t="s">
        <v>246</v>
      </c>
      <c r="C43" s="27" t="n">
        <f aca="false">$C$11*(1+$C$12)^(C$40-$B$40)+$C$13*(1+$C$14)^(C$40-$B$40)+Forecast!$B$25*(1+$C$19)^(C$40-$B$40)+$C$20</f>
        <v>7120180.89</v>
      </c>
      <c r="D43" s="27" t="n">
        <f aca="false">$C$11*(1+$C$12)^(D$40-$B$40)+$C$13*(1+$C$14)^(D$40-$B$40)+Forecast!$B$25*(1+$C$19)^(D$40-$B$40)+$C$20</f>
        <v>7280980.2567</v>
      </c>
      <c r="E43" s="27" t="n">
        <f aca="false">$C$11*(1+$C$12)^(E$40-$B$40)+$C$13*(1+$C$14)^(E$40-$B$40)+Forecast!$B$25*(1+$C$19)^(E$40-$B$40)+$C$20</f>
        <v>7446603.604401</v>
      </c>
    </row>
    <row r="44" customFormat="false" ht="15" hidden="false" customHeight="false" outlineLevel="0" collapsed="false">
      <c r="A44" s="14" t="s">
        <v>320</v>
      </c>
      <c r="C44" s="27" t="n">
        <f aca="false">IF(AND($C$15=1,MOD(C$40-$C$18,$C$17)=0),$C$16,0)</f>
        <v>0</v>
      </c>
      <c r="D44" s="27" t="n">
        <f aca="false">IF(AND($C$15=1,MOD(D$40-$C$18,$C$17)=0),$C$16,0)</f>
        <v>5000000</v>
      </c>
      <c r="E44" s="27" t="n">
        <f aca="false">IF(AND($C$15=1,MOD(E$40-$C$18,$C$17)=0),$C$16,0)</f>
        <v>0</v>
      </c>
    </row>
    <row r="45" customFormat="false" ht="15" hidden="false" customHeight="false" outlineLevel="0" collapsed="false">
      <c r="A45" s="14" t="s">
        <v>19</v>
      </c>
      <c r="C45" s="27" t="n">
        <f aca="false">Forecast!$B$31*(1+$C$21)^(C$40-$B$40)</f>
        <v>8558460.14</v>
      </c>
      <c r="D45" s="27" t="n">
        <f aca="false">Forecast!$B$31*(1+$C$21)^(D$40-$B$40)</f>
        <v>9071967.7484</v>
      </c>
      <c r="E45" s="27" t="n">
        <f aca="false">Forecast!$B$31*(1+$C$21)^(E$40-$B$40)</f>
        <v>9616285.813304</v>
      </c>
    </row>
    <row r="46" customFormat="false" ht="15" hidden="false" customHeight="false" outlineLevel="0" collapsed="false">
      <c r="A46" s="14" t="s">
        <v>321</v>
      </c>
      <c r="C46" s="27" t="n">
        <f aca="false">C43-C45</f>
        <v>-1438279.25</v>
      </c>
      <c r="D46" s="27" t="n">
        <f aca="false">D43-D45</f>
        <v>-1790987.4917</v>
      </c>
      <c r="E46" s="27" t="n">
        <f aca="false">E43-E45</f>
        <v>-2169682.208903</v>
      </c>
    </row>
    <row r="47" customFormat="false" ht="15" hidden="false" customHeight="false" outlineLevel="0" collapsed="false">
      <c r="A47" s="14" t="s">
        <v>322</v>
      </c>
      <c r="C47" s="27" t="n">
        <f aca="false">SUMPRODUCT($C44:C44*((C$40-$C$40:C$40)&lt;$C$17))/$C$17</f>
        <v>0</v>
      </c>
      <c r="D47" s="27" t="n">
        <f aca="false">SUMPRODUCT($C44:D44*((D$40-$C$40:D$40)&lt;$C$17))/$C$17</f>
        <v>1250000</v>
      </c>
      <c r="E47" s="27" t="n">
        <f aca="false">SUMPRODUCT($C44:E44*((E$40-$C$40:E$40)&lt;$C$17))/$C$17</f>
        <v>1250000</v>
      </c>
    </row>
    <row r="48" customFormat="false" ht="15" hidden="false" customHeight="false" outlineLevel="0" collapsed="false">
      <c r="A48" s="14" t="s">
        <v>265</v>
      </c>
      <c r="B48" s="47" t="n">
        <f aca="false">Inputs!$G$36</f>
        <v>6396696</v>
      </c>
      <c r="C48" s="28" t="n">
        <f aca="false">B48+C46+C47</f>
        <v>4958416.75</v>
      </c>
      <c r="D48" s="28" t="n">
        <f aca="false">C48+D46+D47</f>
        <v>4417429.2583</v>
      </c>
      <c r="E48" s="28" t="n">
        <f aca="false">D48+E46+E47</f>
        <v>3497747.049397</v>
      </c>
    </row>
    <row r="49" customFormat="false" ht="15" hidden="false" customHeight="false" outlineLevel="0" collapsed="false">
      <c r="A49" s="14" t="s">
        <v>20</v>
      </c>
      <c r="B49" s="45" t="n">
        <f aca="false">B48/(Forecast!$B$31/12)</f>
        <v>9.5070809221529</v>
      </c>
      <c r="C49" s="61" t="n">
        <f aca="false">C48/(C45/12)</f>
        <v>6.95230216962838</v>
      </c>
      <c r="D49" s="61" t="n">
        <f aca="false">D48/(D45/12)</f>
        <v>5.84318116749799</v>
      </c>
      <c r="E49" s="61" t="n">
        <f aca="false">E48/(E45/12)</f>
        <v>4.3647792305315</v>
      </c>
    </row>
    <row r="50" customFormat="false" ht="15" hidden="false" customHeight="false" outlineLevel="0" collapsed="false">
      <c r="A50" s="14" t="s">
        <v>323</v>
      </c>
      <c r="C50" s="19" t="str">
        <f aca="false">IF(C49&lt;$C$22,"BELOW","OK")</f>
        <v>OK</v>
      </c>
      <c r="D50" s="19" t="str">
        <f aca="false">IF(D49&lt;$C$22,"BELOW","OK")</f>
        <v>OK</v>
      </c>
      <c r="E50" s="19" t="str">
        <f aca="false">IF(E49&lt;$C$22,"BELOW","OK")</f>
        <v>OK</v>
      </c>
    </row>
    <row r="52" customFormat="false" ht="15" hidden="false" customHeight="false" outlineLevel="0" collapsed="false">
      <c r="A52" s="23" t="str">
        <f aca="false">D$9</f>
        <v>No major gift</v>
      </c>
      <c r="B52" s="24"/>
      <c r="C52" s="24"/>
      <c r="D52" s="24"/>
      <c r="E52" s="24"/>
    </row>
    <row r="53" customFormat="false" ht="15" hidden="false" customHeight="false" outlineLevel="0" collapsed="false">
      <c r="A53" s="14" t="s">
        <v>246</v>
      </c>
      <c r="C53" s="27" t="n">
        <f aca="false">$D$11*(1+$D$12)^(C$40-$B$40)+$D$13*(1+$D$14)^(C$40-$B$40)+Forecast!$B$25*(1+$D$19)^(C$40-$B$40)+$D$20</f>
        <v>7120180.89</v>
      </c>
      <c r="D53" s="27" t="n">
        <f aca="false">$D$11*(1+$D$12)^(D$40-$B$40)+$D$13*(1+$D$14)^(D$40-$B$40)+Forecast!$B$25*(1+$D$19)^(D$40-$B$40)+$D$20</f>
        <v>7280980.2567</v>
      </c>
      <c r="E53" s="27" t="n">
        <f aca="false">$D$11*(1+$D$12)^(E$40-$B$40)+$D$13*(1+$D$14)^(E$40-$B$40)+Forecast!$B$25*(1+$D$19)^(E$40-$B$40)+$D$20</f>
        <v>7446603.604401</v>
      </c>
    </row>
    <row r="54" customFormat="false" ht="15" hidden="false" customHeight="false" outlineLevel="0" collapsed="false">
      <c r="A54" s="14" t="s">
        <v>320</v>
      </c>
      <c r="C54" s="27" t="n">
        <f aca="false">IF(AND($D$15=1,MOD(C$40-$D$18,$D$17)=0),$D$16,0)</f>
        <v>0</v>
      </c>
      <c r="D54" s="27" t="n">
        <f aca="false">IF(AND($D$15=1,MOD(D$40-$D$18,$D$17)=0),$D$16,0)</f>
        <v>0</v>
      </c>
      <c r="E54" s="27" t="n">
        <f aca="false">IF(AND($D$15=1,MOD(E$40-$D$18,$D$17)=0),$D$16,0)</f>
        <v>0</v>
      </c>
    </row>
    <row r="55" customFormat="false" ht="15" hidden="false" customHeight="false" outlineLevel="0" collapsed="false">
      <c r="A55" s="14" t="s">
        <v>19</v>
      </c>
      <c r="C55" s="27" t="n">
        <f aca="false">Forecast!$B$31*(1+$D$21)^(C$40-$B$40)</f>
        <v>8558460.14</v>
      </c>
      <c r="D55" s="27" t="n">
        <f aca="false">Forecast!$B$31*(1+$D$21)^(D$40-$B$40)</f>
        <v>9071967.7484</v>
      </c>
      <c r="E55" s="27" t="n">
        <f aca="false">Forecast!$B$31*(1+$D$21)^(E$40-$B$40)</f>
        <v>9616285.813304</v>
      </c>
    </row>
    <row r="56" customFormat="false" ht="15" hidden="false" customHeight="false" outlineLevel="0" collapsed="false">
      <c r="A56" s="14" t="s">
        <v>321</v>
      </c>
      <c r="C56" s="27" t="n">
        <f aca="false">C53-C55</f>
        <v>-1438279.25</v>
      </c>
      <c r="D56" s="27" t="n">
        <f aca="false">D53-D55</f>
        <v>-1790987.4917</v>
      </c>
      <c r="E56" s="27" t="n">
        <f aca="false">E53-E55</f>
        <v>-2169682.208903</v>
      </c>
    </row>
    <row r="57" customFormat="false" ht="15" hidden="false" customHeight="false" outlineLevel="0" collapsed="false">
      <c r="A57" s="14" t="s">
        <v>322</v>
      </c>
      <c r="C57" s="27" t="n">
        <f aca="false">SUMPRODUCT($C54:C54*((C$40-$C$40:C$40)&lt;$D$17))/$D$17</f>
        <v>0</v>
      </c>
      <c r="D57" s="27" t="n">
        <f aca="false">SUMPRODUCT($C54:D54*((D$40-$C$40:D$40)&lt;$D$17))/$D$17</f>
        <v>0</v>
      </c>
      <c r="E57" s="27" t="n">
        <f aca="false">SUMPRODUCT($C54:E54*((E$40-$C$40:E$40)&lt;$D$17))/$D$17</f>
        <v>0</v>
      </c>
    </row>
    <row r="58" customFormat="false" ht="15" hidden="false" customHeight="false" outlineLevel="0" collapsed="false">
      <c r="A58" s="14" t="s">
        <v>265</v>
      </c>
      <c r="B58" s="47" t="n">
        <f aca="false">Inputs!$G$36</f>
        <v>6396696</v>
      </c>
      <c r="C58" s="28" t="n">
        <f aca="false">B58+C56+C57</f>
        <v>4958416.75</v>
      </c>
      <c r="D58" s="28" t="n">
        <f aca="false">C58+D56+D57</f>
        <v>3167429.2583</v>
      </c>
      <c r="E58" s="28" t="n">
        <f aca="false">D58+E56+E57</f>
        <v>997747.049396997</v>
      </c>
    </row>
    <row r="59" customFormat="false" ht="15" hidden="false" customHeight="false" outlineLevel="0" collapsed="false">
      <c r="A59" s="14" t="s">
        <v>20</v>
      </c>
      <c r="B59" s="45" t="n">
        <f aca="false">B58/(Forecast!$B$31/12)</f>
        <v>9.5070809221529</v>
      </c>
      <c r="C59" s="61" t="n">
        <f aca="false">C58/(C55/12)</f>
        <v>6.95230216962838</v>
      </c>
      <c r="D59" s="61" t="n">
        <f aca="false">D58/(D55/12)</f>
        <v>4.1897361359451</v>
      </c>
      <c r="E59" s="61" t="n">
        <f aca="false">E58/(E55/12)</f>
        <v>1.24507162382794</v>
      </c>
    </row>
    <row r="60" customFormat="false" ht="15" hidden="false" customHeight="false" outlineLevel="0" collapsed="false">
      <c r="A60" s="14" t="s">
        <v>323</v>
      </c>
      <c r="C60" s="19" t="str">
        <f aca="false">IF(C59&lt;$D$22,"BELOW","OK")</f>
        <v>OK</v>
      </c>
      <c r="D60" s="19" t="str">
        <f aca="false">IF(D59&lt;$D$22,"BELOW","OK")</f>
        <v>OK</v>
      </c>
      <c r="E60" s="19" t="str">
        <f aca="false">IF(E59&lt;$D$22,"BELOW","OK")</f>
        <v>BELOW</v>
      </c>
    </row>
    <row r="62" customFormat="false" ht="15" hidden="false" customHeight="false" outlineLevel="0" collapsed="false">
      <c r="A62" s="23" t="str">
        <f aca="false">E$9</f>
        <v>Government cut</v>
      </c>
      <c r="B62" s="24"/>
      <c r="C62" s="24"/>
      <c r="D62" s="24"/>
      <c r="E62" s="24"/>
    </row>
    <row r="63" customFormat="false" ht="15" hidden="false" customHeight="false" outlineLevel="0" collapsed="false">
      <c r="A63" s="14" t="s">
        <v>246</v>
      </c>
      <c r="C63" s="27" t="n">
        <f aca="false">$E$11*(1+$E$12)^(C$40-$B$40)+$E$13*(1+$E$14)^(C$40-$B$40)+Forecast!$B$25*(1+$E$19)^(C$40-$B$40)+$E$20</f>
        <v>6625556.89</v>
      </c>
      <c r="D63" s="27" t="n">
        <f aca="false">$E$11*(1+$E$12)^(D$40-$B$40)+$E$13*(1+$E$14)^(D$40-$B$40)+Forecast!$B$25*(1+$E$19)^(D$40-$B$40)+$E$20</f>
        <v>6786356.2567</v>
      </c>
      <c r="E63" s="27" t="n">
        <f aca="false">$E$11*(1+$E$12)^(E$40-$B$40)+$E$13*(1+$E$14)^(E$40-$B$40)+Forecast!$B$25*(1+$E$19)^(E$40-$B$40)+$E$20</f>
        <v>6951979.604401</v>
      </c>
    </row>
    <row r="64" customFormat="false" ht="15" hidden="false" customHeight="false" outlineLevel="0" collapsed="false">
      <c r="A64" s="14" t="s">
        <v>320</v>
      </c>
      <c r="C64" s="27" t="n">
        <f aca="false">IF(AND($E$15=1,MOD(C$40-$E$18,$E$17)=0),$E$16,0)</f>
        <v>0</v>
      </c>
      <c r="D64" s="27" t="n">
        <f aca="false">IF(AND($E$15=1,MOD(D$40-$E$18,$E$17)=0),$E$16,0)</f>
        <v>5000000</v>
      </c>
      <c r="E64" s="27" t="n">
        <f aca="false">IF(AND($E$15=1,MOD(E$40-$E$18,$E$17)=0),$E$16,0)</f>
        <v>0</v>
      </c>
    </row>
    <row r="65" customFormat="false" ht="15" hidden="false" customHeight="false" outlineLevel="0" collapsed="false">
      <c r="A65" s="14" t="s">
        <v>19</v>
      </c>
      <c r="C65" s="27" t="n">
        <f aca="false">Forecast!$B$31*(1+$E$21)^(C$40-$B$40)</f>
        <v>8558460.14</v>
      </c>
      <c r="D65" s="27" t="n">
        <f aca="false">Forecast!$B$31*(1+$E$21)^(D$40-$B$40)</f>
        <v>9071967.7484</v>
      </c>
      <c r="E65" s="27" t="n">
        <f aca="false">Forecast!$B$31*(1+$E$21)^(E$40-$B$40)</f>
        <v>9616285.813304</v>
      </c>
    </row>
    <row r="66" customFormat="false" ht="15" hidden="false" customHeight="false" outlineLevel="0" collapsed="false">
      <c r="A66" s="14" t="s">
        <v>321</v>
      </c>
      <c r="C66" s="27" t="n">
        <f aca="false">C63-C65</f>
        <v>-1932903.25</v>
      </c>
      <c r="D66" s="27" t="n">
        <f aca="false">D63-D65</f>
        <v>-2285611.4917</v>
      </c>
      <c r="E66" s="27" t="n">
        <f aca="false">E63-E65</f>
        <v>-2664306.208903</v>
      </c>
    </row>
    <row r="67" customFormat="false" ht="15" hidden="false" customHeight="false" outlineLevel="0" collapsed="false">
      <c r="A67" s="14" t="s">
        <v>322</v>
      </c>
      <c r="C67" s="27" t="n">
        <f aca="false">SUMPRODUCT($C64:C64*((C$40-$C$40:C$40)&lt;$E$17))/$E$17</f>
        <v>0</v>
      </c>
      <c r="D67" s="27" t="n">
        <f aca="false">SUMPRODUCT($C64:D64*((D$40-$C$40:D$40)&lt;$E$17))/$E$17</f>
        <v>1250000</v>
      </c>
      <c r="E67" s="27" t="n">
        <f aca="false">SUMPRODUCT($C64:E64*((E$40-$C$40:E$40)&lt;$E$17))/$E$17</f>
        <v>1250000</v>
      </c>
    </row>
    <row r="68" customFormat="false" ht="15" hidden="false" customHeight="false" outlineLevel="0" collapsed="false">
      <c r="A68" s="14" t="s">
        <v>265</v>
      </c>
      <c r="B68" s="47" t="n">
        <f aca="false">Inputs!$G$36</f>
        <v>6396696</v>
      </c>
      <c r="C68" s="28" t="n">
        <f aca="false">B68+C66+C67</f>
        <v>4463792.75</v>
      </c>
      <c r="D68" s="28" t="n">
        <f aca="false">C68+D66+D67</f>
        <v>3428181.2583</v>
      </c>
      <c r="E68" s="28" t="n">
        <f aca="false">D68+E66+E67</f>
        <v>2013875.049397</v>
      </c>
    </row>
    <row r="69" customFormat="false" ht="15" hidden="false" customHeight="false" outlineLevel="0" collapsed="false">
      <c r="A69" s="14" t="s">
        <v>20</v>
      </c>
      <c r="B69" s="45" t="n">
        <f aca="false">B68/(Forecast!$B$31/12)</f>
        <v>9.5070809221529</v>
      </c>
      <c r="C69" s="61" t="n">
        <f aca="false">C68/(C65/12)</f>
        <v>6.25877928082516</v>
      </c>
      <c r="D69" s="61" t="n">
        <f aca="false">D68/(D65/12)</f>
        <v>4.53464741503908</v>
      </c>
      <c r="E69" s="61" t="n">
        <f aca="false">E68/(E65/12)</f>
        <v>2.51308052422173</v>
      </c>
    </row>
    <row r="70" customFormat="false" ht="15" hidden="false" customHeight="false" outlineLevel="0" collapsed="false">
      <c r="A70" s="14" t="s">
        <v>323</v>
      </c>
      <c r="C70" s="19" t="str">
        <f aca="false">IF(C69&lt;$E$22,"BELOW","OK")</f>
        <v>OK</v>
      </c>
      <c r="D70" s="19" t="str">
        <f aca="false">IF(D69&lt;$E$22,"BELOW","OK")</f>
        <v>OK</v>
      </c>
      <c r="E70" s="19" t="str">
        <f aca="false">IF(E69&lt;$E$22,"BELOW","OK")</f>
        <v>BELOW</v>
      </c>
    </row>
    <row r="72" customFormat="false" ht="15" hidden="false" customHeight="false" outlineLevel="0" collapsed="false">
      <c r="A72" s="23" t="str">
        <f aca="false">F$9</f>
        <v>Cost discipline</v>
      </c>
      <c r="B72" s="24"/>
      <c r="C72" s="24"/>
      <c r="D72" s="24"/>
      <c r="E72" s="24"/>
    </row>
    <row r="73" customFormat="false" ht="15" hidden="false" customHeight="false" outlineLevel="0" collapsed="false">
      <c r="A73" s="14" t="s">
        <v>246</v>
      </c>
      <c r="C73" s="27" t="n">
        <f aca="false">$F$11*(1+$F$12)^(C$40-$B$40)+$F$13*(1+$F$14)^(C$40-$B$40)+Forecast!$B$25*(1+$F$19)^(C$40-$B$40)+$F$20</f>
        <v>7120180.89</v>
      </c>
      <c r="D73" s="27" t="n">
        <f aca="false">$F$11*(1+$F$12)^(D$40-$B$40)+$F$13*(1+$F$14)^(D$40-$B$40)+Forecast!$B$25*(1+$F$19)^(D$40-$B$40)+$F$20</f>
        <v>7280980.2567</v>
      </c>
      <c r="E73" s="27" t="n">
        <f aca="false">$F$11*(1+$F$12)^(E$40-$B$40)+$F$13*(1+$F$14)^(E$40-$B$40)+Forecast!$B$25*(1+$F$19)^(E$40-$B$40)+$F$20</f>
        <v>7446603.604401</v>
      </c>
    </row>
    <row r="74" customFormat="false" ht="15" hidden="false" customHeight="false" outlineLevel="0" collapsed="false">
      <c r="A74" s="14" t="s">
        <v>320</v>
      </c>
      <c r="C74" s="27" t="n">
        <f aca="false">IF(AND($F$15=1,MOD(C$40-$F$18,$F$17)=0),$F$16,0)</f>
        <v>0</v>
      </c>
      <c r="D74" s="27" t="n">
        <f aca="false">IF(AND($F$15=1,MOD(D$40-$F$18,$F$17)=0),$F$16,0)</f>
        <v>5000000</v>
      </c>
      <c r="E74" s="27" t="n">
        <f aca="false">IF(AND($F$15=1,MOD(E$40-$F$18,$F$17)=0),$F$16,0)</f>
        <v>0</v>
      </c>
    </row>
    <row r="75" customFormat="false" ht="15" hidden="false" customHeight="false" outlineLevel="0" collapsed="false">
      <c r="A75" s="14" t="s">
        <v>19</v>
      </c>
      <c r="C75" s="27" t="n">
        <f aca="false">Forecast!$B$31*(1+$F$21)^(C$40-$B$40)</f>
        <v>8316239.57</v>
      </c>
      <c r="D75" s="27" t="n">
        <f aca="false">Forecast!$B$31*(1+$F$21)^(D$40-$B$40)</f>
        <v>8565726.7571</v>
      </c>
      <c r="E75" s="27" t="n">
        <f aca="false">Forecast!$B$31*(1+$F$21)^(E$40-$B$40)</f>
        <v>8822698.559813</v>
      </c>
    </row>
    <row r="76" customFormat="false" ht="15" hidden="false" customHeight="false" outlineLevel="0" collapsed="false">
      <c r="A76" s="14" t="s">
        <v>321</v>
      </c>
      <c r="C76" s="27" t="n">
        <f aca="false">C73-C75</f>
        <v>-1196058.68</v>
      </c>
      <c r="D76" s="27" t="n">
        <f aca="false">D73-D75</f>
        <v>-1284746.5004</v>
      </c>
      <c r="E76" s="27" t="n">
        <f aca="false">E73-E75</f>
        <v>-1376094.955412</v>
      </c>
    </row>
    <row r="77" customFormat="false" ht="15" hidden="false" customHeight="false" outlineLevel="0" collapsed="false">
      <c r="A77" s="14" t="s">
        <v>322</v>
      </c>
      <c r="C77" s="27" t="n">
        <f aca="false">SUMPRODUCT($C74:C74*((C$40-$C$40:C$40)&lt;$F$17))/$F$17</f>
        <v>0</v>
      </c>
      <c r="D77" s="27" t="n">
        <f aca="false">SUMPRODUCT($C74:D74*((D$40-$C$40:D$40)&lt;$F$17))/$F$17</f>
        <v>1250000</v>
      </c>
      <c r="E77" s="27" t="n">
        <f aca="false">SUMPRODUCT($C74:E74*((E$40-$C$40:E$40)&lt;$F$17))/$F$17</f>
        <v>1250000</v>
      </c>
    </row>
    <row r="78" customFormat="false" ht="15" hidden="false" customHeight="false" outlineLevel="0" collapsed="false">
      <c r="A78" s="14" t="s">
        <v>265</v>
      </c>
      <c r="B78" s="47" t="n">
        <f aca="false">Inputs!$G$36</f>
        <v>6396696</v>
      </c>
      <c r="C78" s="28" t="n">
        <f aca="false">B78+C76+C77</f>
        <v>5200637.32</v>
      </c>
      <c r="D78" s="28" t="n">
        <f aca="false">C78+D76+D77</f>
        <v>5165890.8196</v>
      </c>
      <c r="E78" s="28" t="n">
        <f aca="false">D78+E76+E77</f>
        <v>5039795.864188</v>
      </c>
    </row>
    <row r="79" customFormat="false" ht="15" hidden="false" customHeight="false" outlineLevel="0" collapsed="false">
      <c r="A79" s="14" t="s">
        <v>20</v>
      </c>
      <c r="B79" s="45" t="n">
        <f aca="false">B78/(Forecast!$B$31/12)</f>
        <v>9.5070809221529</v>
      </c>
      <c r="C79" s="61" t="n">
        <f aca="false">C78/(C75/12)</f>
        <v>7.50431097068552</v>
      </c>
      <c r="D79" s="61" t="n">
        <f aca="false">D78/(D75/12)</f>
        <v>7.23706132510203</v>
      </c>
      <c r="E79" s="61" t="n">
        <f aca="false">E78/(E75/12)</f>
        <v>6.85476784231625</v>
      </c>
    </row>
    <row r="80" customFormat="false" ht="15" hidden="false" customHeight="false" outlineLevel="0" collapsed="false">
      <c r="A80" s="14" t="s">
        <v>323</v>
      </c>
      <c r="C80" s="19" t="str">
        <f aca="false">IF(C79&lt;$F$22,"BELOW","OK")</f>
        <v>OK</v>
      </c>
      <c r="D80" s="19" t="str">
        <f aca="false">IF(D79&lt;$F$22,"BELOW","OK")</f>
        <v>OK</v>
      </c>
      <c r="E80" s="19" t="str">
        <f aca="false">IF(E79&lt;$F$22,"BELOW","OK")</f>
        <v>OK</v>
      </c>
    </row>
    <row r="82" customFormat="false" ht="15" hidden="false" customHeight="false" outlineLevel="0" collapsed="false">
      <c r="A82" s="23" t="str">
        <f aca="false">G$9</f>
        <v>Combined shock</v>
      </c>
      <c r="B82" s="24"/>
      <c r="C82" s="24"/>
      <c r="D82" s="24"/>
      <c r="E82" s="24"/>
    </row>
    <row r="83" customFormat="false" ht="15" hidden="false" customHeight="false" outlineLevel="0" collapsed="false">
      <c r="A83" s="14" t="s">
        <v>246</v>
      </c>
      <c r="C83" s="27" t="n">
        <f aca="false">$G$11*(1+$G$12)^(C$40-$B$40)+$G$13*(1+$G$14)^(C$40-$B$40)+Forecast!$B$25*(1+$G$19)^(C$40-$B$40)+$G$20</f>
        <v>6625556.89</v>
      </c>
      <c r="D83" s="27" t="n">
        <f aca="false">$G$11*(1+$G$12)^(D$40-$B$40)+$G$13*(1+$G$14)^(D$40-$B$40)+Forecast!$B$25*(1+$G$19)^(D$40-$B$40)+$G$20</f>
        <v>6786356.2567</v>
      </c>
      <c r="E83" s="27" t="n">
        <f aca="false">$G$11*(1+$G$12)^(E$40-$B$40)+$G$13*(1+$G$14)^(E$40-$B$40)+Forecast!$B$25*(1+$G$19)^(E$40-$B$40)+$G$20</f>
        <v>6951979.604401</v>
      </c>
    </row>
    <row r="84" customFormat="false" ht="15" hidden="false" customHeight="false" outlineLevel="0" collapsed="false">
      <c r="A84" s="14" t="s">
        <v>320</v>
      </c>
      <c r="C84" s="27" t="n">
        <f aca="false">IF(AND($G$15=1,MOD(C$40-$G$18,$G$17)=0),$G$16,0)</f>
        <v>0</v>
      </c>
      <c r="D84" s="27" t="n">
        <f aca="false">IF(AND($G$15=1,MOD(D$40-$G$18,$G$17)=0),$G$16,0)</f>
        <v>0</v>
      </c>
      <c r="E84" s="27" t="n">
        <f aca="false">IF(AND($G$15=1,MOD(E$40-$G$18,$G$17)=0),$G$16,0)</f>
        <v>0</v>
      </c>
    </row>
    <row r="85" customFormat="false" ht="15" hidden="false" customHeight="false" outlineLevel="0" collapsed="false">
      <c r="A85" s="14" t="s">
        <v>19</v>
      </c>
      <c r="C85" s="27" t="n">
        <f aca="false">Forecast!$B$31*(1+$G$21)^(C$40-$B$40)</f>
        <v>8558460.14</v>
      </c>
      <c r="D85" s="27" t="n">
        <f aca="false">Forecast!$B$31*(1+$G$21)^(D$40-$B$40)</f>
        <v>9071967.7484</v>
      </c>
      <c r="E85" s="27" t="n">
        <f aca="false">Forecast!$B$31*(1+$G$21)^(E$40-$B$40)</f>
        <v>9616285.813304</v>
      </c>
    </row>
    <row r="86" customFormat="false" ht="15" hidden="false" customHeight="false" outlineLevel="0" collapsed="false">
      <c r="A86" s="14" t="s">
        <v>321</v>
      </c>
      <c r="C86" s="27" t="n">
        <f aca="false">C83-C85</f>
        <v>-1932903.25</v>
      </c>
      <c r="D86" s="27" t="n">
        <f aca="false">D83-D85</f>
        <v>-2285611.4917</v>
      </c>
      <c r="E86" s="27" t="n">
        <f aca="false">E83-E85</f>
        <v>-2664306.208903</v>
      </c>
    </row>
    <row r="87" customFormat="false" ht="15" hidden="false" customHeight="false" outlineLevel="0" collapsed="false">
      <c r="A87" s="14" t="s">
        <v>322</v>
      </c>
      <c r="C87" s="27" t="n">
        <f aca="false">SUMPRODUCT($C84:C84*((C$40-$C$40:C$40)&lt;$G$17))/$G$17</f>
        <v>0</v>
      </c>
      <c r="D87" s="27" t="n">
        <f aca="false">SUMPRODUCT($C84:D84*((D$40-$C$40:D$40)&lt;$G$17))/$G$17</f>
        <v>0</v>
      </c>
      <c r="E87" s="27" t="n">
        <f aca="false">SUMPRODUCT($C84:E84*((E$40-$C$40:E$40)&lt;$G$17))/$G$17</f>
        <v>0</v>
      </c>
    </row>
    <row r="88" customFormat="false" ht="15" hidden="false" customHeight="false" outlineLevel="0" collapsed="false">
      <c r="A88" s="14" t="s">
        <v>265</v>
      </c>
      <c r="B88" s="47" t="n">
        <f aca="false">Inputs!$G$36</f>
        <v>6396696</v>
      </c>
      <c r="C88" s="28" t="n">
        <f aca="false">B88+C86+C87</f>
        <v>4463792.75</v>
      </c>
      <c r="D88" s="28" t="n">
        <f aca="false">C88+D86+D87</f>
        <v>2178181.2583</v>
      </c>
      <c r="E88" s="28" t="n">
        <f aca="false">D88+E86+E87</f>
        <v>-486124.950603003</v>
      </c>
    </row>
    <row r="89" customFormat="false" ht="15" hidden="false" customHeight="false" outlineLevel="0" collapsed="false">
      <c r="A89" s="14" t="s">
        <v>20</v>
      </c>
      <c r="B89" s="45" t="n">
        <f aca="false">B88/(Forecast!$B$31/12)</f>
        <v>9.5070809221529</v>
      </c>
      <c r="C89" s="61" t="n">
        <f aca="false">C88/(C85/12)</f>
        <v>6.25877928082516</v>
      </c>
      <c r="D89" s="61" t="n">
        <f aca="false">D88/(D85/12)</f>
        <v>2.8812023834862</v>
      </c>
      <c r="E89" s="61" t="n">
        <f aca="false">E88/(E85/12)</f>
        <v>-0.606627082481832</v>
      </c>
    </row>
    <row r="90" customFormat="false" ht="15" hidden="false" customHeight="false" outlineLevel="0" collapsed="false">
      <c r="A90" s="14" t="s">
        <v>323</v>
      </c>
      <c r="C90" s="19" t="str">
        <f aca="false">IF(C89&lt;$G$22,"BELOW","OK")</f>
        <v>OK</v>
      </c>
      <c r="D90" s="19" t="str">
        <f aca="false">IF(D89&lt;$G$22,"BELOW","OK")</f>
        <v>BELOW</v>
      </c>
      <c r="E90" s="19" t="str">
        <f aca="false">IF(E89&lt;$G$22,"BELOW","OK")</f>
        <v>BELOW</v>
      </c>
    </row>
  </sheetData>
  <dataValidations count="1">
    <dataValidation allowBlank="false" error="Pick a scenario from the list" errorStyle="stop" errorTitle="Invalid scenario" operator="between" showDropDown="false" showErrorMessage="false" showInputMessage="false" sqref="C5" type="list">
      <formula1>"Base,No major gift,Government cut,Cost discipline,Combined shock"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2026-10-23T19:52:38Z</dcterms:created>
  <dc:creator>openpyxl</dc:creator>
  <dc:description/>
  <dc:language>en-US</dc:language>
  <cp:lastModifiedBy/>
  <dcterms:modified xsi:type="dcterms:W3CDTF">2026-10-23T19:52:40Z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